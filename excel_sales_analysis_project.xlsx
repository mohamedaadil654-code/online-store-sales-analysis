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cc485fc2cd28d7af/Documents/"/>
    </mc:Choice>
  </mc:AlternateContent>
  <xr:revisionPtr revIDLastSave="0" documentId="8_{F255190E-18EB-4F8E-82A8-188CB4200AB7}" xr6:coauthVersionLast="47" xr6:coauthVersionMax="47" xr10:uidLastSave="{00000000-0000-0000-0000-000000000000}"/>
  <bookViews>
    <workbookView xWindow="-108" yWindow="-108" windowWidth="23256" windowHeight="12456" activeTab="4" xr2:uid="{00000000-000D-0000-FFFF-FFFF00000000}"/>
  </bookViews>
  <sheets>
    <sheet name="sales" sheetId="2" r:id="rId1"/>
    <sheet name="coupoun" sheetId="6" r:id="rId2"/>
    <sheet name="Sheet8" sheetId="9" r:id="rId3"/>
    <sheet name="Sheet6" sheetId="7" r:id="rId4"/>
    <sheet name="dash" sheetId="10" r:id="rId5"/>
    <sheet name="Sheet10" sheetId="11" r:id="rId6"/>
    <sheet name="raw " sheetId="1" r:id="rId7"/>
    <sheet name="paymnt" sheetId="8" r:id="rId8"/>
  </sheets>
  <definedNames>
    <definedName name="_xlchart.v1.0" hidden="1">paymnt!$S$25:$S$29</definedName>
    <definedName name="_xlchart.v1.1" hidden="1">paymnt!$T$23:$T$24</definedName>
    <definedName name="_xlchart.v1.10" hidden="1">paymnt!$S$25:$S$29</definedName>
    <definedName name="_xlchart.v1.11" hidden="1">paymnt!$T$23:$T$24</definedName>
    <definedName name="_xlchart.v1.12" hidden="1">paymnt!$T$25:$T$29</definedName>
    <definedName name="_xlchart.v1.13" hidden="1">paymnt!$U$23:$U$24</definedName>
    <definedName name="_xlchart.v1.14" hidden="1">paymnt!$U$25:$U$29</definedName>
    <definedName name="_xlchart.v1.2" hidden="1">paymnt!$T$25:$T$29</definedName>
    <definedName name="_xlchart.v1.3" hidden="1">paymnt!$U$23:$U$24</definedName>
    <definedName name="_xlchart.v1.4" hidden="1">paymnt!$U$25:$U$29</definedName>
    <definedName name="_xlchart.v1.5" hidden="1">paymnt!$C$17:$C$22</definedName>
    <definedName name="_xlchart.v1.6" hidden="1">paymnt!$D$15:$D$16</definedName>
    <definedName name="_xlchart.v1.7" hidden="1">paymnt!$D$17:$D$22</definedName>
    <definedName name="_xlchart.v1.8" hidden="1">paymnt!$E$15:$E$16</definedName>
    <definedName name="_xlchart.v1.9" hidden="1">paymnt!$E$17:$E$22</definedName>
    <definedName name="Slicer_PaymentMethod">#N/A</definedName>
    <definedName name="Slicer_Produc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1" l="1" a="1"/>
  <c r="E5" i="11" s="1"/>
  <c r="C15" i="8" a="1"/>
  <c r="J21" i="7"/>
  <c r="L6" i="7"/>
  <c r="L7" i="7"/>
  <c r="L8" i="7"/>
  <c r="L9" i="7"/>
  <c r="L10" i="7"/>
  <c r="L5" i="7"/>
  <c r="I4" i="7" a="1"/>
  <c r="P64" i="10"/>
  <c r="J47" i="10"/>
  <c r="K58" i="10"/>
  <c r="G46" i="10"/>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C15" i="8" l="1"/>
  <c r="S23" i="8" s="1" a="1"/>
  <c r="S23" i="8" s="1"/>
  <c r="I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<sst xmlns="http://schemas.openxmlformats.org/spreadsheetml/2006/main" count="10575" uniqueCount="4303">
  <si>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</si>
  <si>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</si>
  <si>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</si>
  <si>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</si>
  <si>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</si>
  <si>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</si>
  <si>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</si>
  <si>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</si>
  <si>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</si>
  <si>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</si>
  <si>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</si>
  <si>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</si>
  <si>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</si>
  <si>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</si>
  <si>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</si>
  <si>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</si>
  <si>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</si>
  <si>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</si>
  <si>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</si>
  <si>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</si>
  <si>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</si>
  <si>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</si>
  <si>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</si>
  <si>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</si>
  <si>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</si>
  <si>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</si>
  <si>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</si>
  <si>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</si>
  <si>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</si>
  <si>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</si>
  <si>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</si>
  <si>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</si>
  <si>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</si>
  <si>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</si>
  <si>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</si>
  <si>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</si>
  <si>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</si>
  <si>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</si>
  <si>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</si>
  <si>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</si>
  <si>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</si>
  <si>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</si>
  <si>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</si>
  <si>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</si>
  <si>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</si>
  <si>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</si>
  <si>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</si>
  <si>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</si>
  <si>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</si>
  <si>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</si>
  <si>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</si>
  <si>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</si>
  <si>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</si>
  <si>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</si>
  <si>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</si>
  <si>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</si>
  <si>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</si>
  <si>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</si>
  <si>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</si>
  <si>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</si>
  <si>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</si>
  <si>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</si>
  <si>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</si>
  <si>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</si>
  <si>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</si>
  <si>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</si>
  <si>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</si>
  <si>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</si>
  <si>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</si>
  <si>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</si>
  <si>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</si>
  <si>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</si>
  <si>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</si>
  <si>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</si>
  <si>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</si>
  <si>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</si>
  <si>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</si>
  <si>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</si>
  <si>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</si>
  <si>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</si>
  <si>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</si>
  <si>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</si>
  <si>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</si>
  <si>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</si>
  <si>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</si>
  <si>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</si>
  <si>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</si>
  <si>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</si>
  <si>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</si>
  <si>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</si>
  <si>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</si>
  <si>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</si>
  <si>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</si>
  <si>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</si>
  <si>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</si>
  <si>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</si>
  <si>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</si>
  <si>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</si>
  <si>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</si>
  <si>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</si>
  <si>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</si>
  <si>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</si>
  <si>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</si>
  <si>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</si>
  <si>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</si>
  <si>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</si>
  <si>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</si>
  <si>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</si>
  <si>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</si>
  <si>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</si>
  <si>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</si>
  <si>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</si>
  <si>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</si>
  <si>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</si>
  <si>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</si>
  <si>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</si>
  <si>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</si>
  <si>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</si>
  <si>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</si>
  <si>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</si>
  <si>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</si>
  <si>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</si>
  <si>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</si>
  <si>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</si>
  <si>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</si>
  <si>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</si>
  <si>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</si>
  <si>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</si>
  <si>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</si>
  <si>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</si>
  <si>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</si>
  <si>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</si>
  <si>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</si>
  <si>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</si>
  <si>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</si>
  <si>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</si>
  <si>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</si>
  <si>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</si>
  <si>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</si>
  <si>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</si>
  <si>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</si>
  <si>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</si>
  <si>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</si>
  <si>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</si>
  <si>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</si>
  <si>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</si>
  <si>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</si>
  <si>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</si>
  <si>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</si>
  <si>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</si>
  <si>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</si>
  <si>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</si>
  <si>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</si>
  <si>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</si>
  <si>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</si>
  <si>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</si>
  <si>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</si>
  <si>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</si>
  <si>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</si>
  <si>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</si>
  <si>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</si>
  <si>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</si>
  <si>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</si>
  <si>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</si>
  <si>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</si>
  <si>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</si>
  <si>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</si>
  <si>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</si>
  <si>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</si>
  <si>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</si>
  <si>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</si>
  <si>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</si>
  <si>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</si>
  <si>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</si>
  <si>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</si>
  <si>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</si>
  <si>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</si>
  <si>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</si>
  <si>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</si>
  <si>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</si>
  <si>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</si>
  <si>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</si>
  <si>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</si>
  <si>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</si>
  <si>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</si>
  <si>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</si>
  <si>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</si>
  <si>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</si>
  <si>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</si>
  <si>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</si>
  <si>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</si>
  <si>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</si>
  <si>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</si>
  <si>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</si>
  <si>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</si>
  <si>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</si>
  <si>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</si>
  <si>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</si>
  <si>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</si>
  <si>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</si>
  <si>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</si>
  <si>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</si>
  <si>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</si>
  <si>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</si>
  <si>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</si>
  <si>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</si>
  <si>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</si>
  <si>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</si>
  <si>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</si>
  <si>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</si>
  <si>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</si>
  <si>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</si>
  <si>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</si>
  <si>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</si>
  <si>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</si>
  <si>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</si>
  <si>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</si>
  <si>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</si>
  <si>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</si>
  <si>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</si>
  <si>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</si>
  <si>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</si>
  <si>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</si>
  <si>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</si>
  <si>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</si>
  <si>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</si>
  <si>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</si>
  <si>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</si>
  <si>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</si>
  <si>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</si>
  <si>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</si>
  <si>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</si>
  <si>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</si>
  <si>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</si>
  <si>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</si>
  <si>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</si>
  <si>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</si>
  <si>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</si>
  <si>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</si>
  <si>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</si>
  <si>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</si>
  <si>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</si>
  <si>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</si>
  <si>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</si>
  <si>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</si>
  <si>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</si>
  <si>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</si>
  <si>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</si>
  <si>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</si>
  <si>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</si>
  <si>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</si>
  <si>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</si>
  <si>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</si>
  <si>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</si>
  <si>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</si>
  <si>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</si>
  <si>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</si>
  <si>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</si>
  <si>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</si>
  <si>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</si>
  <si>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</si>
  <si>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</si>
  <si>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</si>
  <si>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</si>
  <si>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</si>
  <si>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</si>
  <si>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</si>
  <si>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</si>
  <si>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</si>
  <si>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</si>
  <si>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</si>
  <si>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</si>
  <si>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</si>
  <si>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</si>
  <si>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</si>
  <si>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</si>
  <si>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</si>
  <si>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</si>
  <si>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</si>
  <si>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</si>
  <si>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</si>
  <si>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</si>
  <si>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</si>
  <si>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</si>
  <si>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</si>
  <si>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</si>
  <si>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</si>
  <si>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</si>
  <si>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</si>
  <si>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</si>
  <si>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</si>
  <si>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</si>
  <si>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</si>
  <si>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</si>
  <si>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</si>
  <si>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</si>
  <si>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</si>
  <si>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</si>
  <si>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</si>
  <si>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</si>
  <si>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</si>
  <si>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</si>
  <si>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</si>
  <si>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</si>
  <si>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</si>
  <si>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</si>
  <si>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</si>
  <si>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</si>
  <si>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</si>
  <si>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</si>
  <si>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</si>
  <si>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</si>
  <si>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</si>
  <si>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</si>
  <si>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</si>
  <si>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</si>
  <si>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</si>
  <si>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</si>
  <si>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</si>
  <si>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</si>
  <si>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</si>
  <si>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</si>
  <si>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</si>
  <si>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</si>
  <si>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</si>
  <si>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</si>
  <si>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</si>
  <si>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</si>
  <si>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</si>
  <si>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</si>
  <si>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</si>
  <si>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</si>
  <si>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</si>
  <si>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</si>
  <si>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</si>
  <si>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</si>
  <si>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</si>
  <si>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</si>
  <si>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</si>
  <si>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</si>
  <si>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</si>
  <si>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</si>
  <si>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</si>
  <si>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</si>
  <si>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</si>
  <si>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</si>
  <si>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</si>
  <si>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</si>
  <si>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</si>
  <si>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</si>
  <si>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</si>
  <si>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</si>
  <si>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</si>
  <si>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</si>
  <si>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</si>
  <si>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</si>
  <si>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</si>
  <si>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</si>
  <si>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</si>
  <si>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</si>
  <si>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</si>
  <si>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</si>
  <si>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</si>
  <si>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</si>
  <si>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</si>
  <si>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</si>
  <si>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</si>
  <si>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</si>
  <si>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</si>
  <si>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</si>
  <si>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</si>
  <si>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</si>
  <si>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</si>
  <si>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</si>
  <si>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</si>
  <si>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</si>
  <si>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</si>
  <si>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</si>
  <si>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</si>
  <si>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</si>
  <si>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</si>
  <si>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</si>
  <si>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</si>
  <si>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</si>
  <si>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</si>
  <si>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</si>
  <si>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</si>
  <si>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</si>
  <si>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</si>
  <si>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</si>
  <si>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</si>
  <si>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</si>
  <si>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</si>
  <si>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</si>
  <si>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</si>
  <si>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</si>
  <si>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</si>
  <si>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</si>
  <si>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</si>
  <si>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</si>
  <si>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</si>
  <si>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</si>
  <si>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</si>
  <si>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</si>
  <si>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</si>
  <si>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</si>
  <si>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</si>
  <si>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</si>
  <si>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</si>
  <si>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</si>
  <si>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</si>
  <si>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</si>
  <si>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</si>
  <si>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</si>
  <si>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</si>
  <si>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</si>
  <si>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</si>
  <si>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</si>
  <si>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</si>
  <si>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</si>
  <si>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</si>
  <si>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</si>
  <si>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</si>
  <si>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</si>
  <si>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</si>
  <si>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</si>
  <si>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</si>
  <si>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</si>
  <si>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</si>
  <si>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</si>
  <si>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</si>
  <si>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</si>
  <si>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</si>
  <si>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</si>
  <si>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</si>
  <si>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</si>
  <si>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</si>
  <si>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</si>
  <si>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</si>
  <si>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</si>
  <si>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</si>
  <si>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</si>
  <si>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</si>
  <si>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</si>
  <si>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</si>
  <si>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</si>
  <si>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</si>
  <si>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</si>
  <si>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</si>
  <si>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</si>
  <si>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</si>
  <si>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</si>
  <si>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</si>
  <si>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</si>
  <si>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</si>
  <si>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</si>
  <si>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</si>
  <si>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</si>
  <si>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</si>
  <si>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</si>
  <si>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</si>
  <si>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</si>
  <si>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</si>
  <si>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</si>
  <si>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</si>
  <si>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</si>
  <si>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</si>
  <si>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</si>
  <si>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</si>
  <si>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</si>
  <si>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</si>
  <si>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</si>
  <si>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</si>
  <si>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</si>
  <si>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</si>
  <si>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</si>
  <si>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</si>
  <si>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</si>
  <si>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</si>
  <si>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</si>
  <si>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</si>
  <si>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</si>
  <si>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</si>
  <si>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</si>
  <si>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</si>
  <si>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</si>
  <si>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</si>
  <si>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</si>
  <si>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</si>
  <si>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</si>
  <si>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</si>
  <si>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</si>
  <si>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</si>
  <si>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</si>
  <si>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</si>
  <si>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</si>
  <si>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</si>
  <si>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</si>
  <si>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</si>
  <si>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</si>
  <si>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</si>
  <si>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</si>
  <si>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</si>
  <si>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</si>
  <si>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</si>
  <si>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</si>
  <si>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</si>
  <si>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</si>
  <si>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</si>
  <si>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</si>
  <si>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</si>
  <si>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</si>
  <si>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</si>
  <si>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</si>
  <si>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</si>
  <si>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</si>
  <si>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</si>
  <si>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</si>
  <si>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</si>
  <si>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</si>
  <si>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</si>
  <si>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</si>
  <si>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</si>
  <si>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</si>
  <si>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</si>
  <si>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</si>
  <si>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</si>
  <si>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</si>
  <si>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</si>
  <si>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</si>
  <si>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</si>
  <si>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</si>
  <si>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</si>
  <si>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</si>
  <si>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</si>
  <si>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</si>
  <si>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</si>
  <si>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</si>
  <si>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</si>
  <si>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</si>
  <si>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</si>
  <si>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</si>
  <si>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</si>
  <si>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</si>
  <si>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</si>
  <si>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</si>
  <si>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</si>
  <si>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</si>
  <si>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</si>
  <si>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</si>
  <si>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</si>
  <si>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</si>
  <si>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</si>
  <si>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</si>
  <si>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</si>
  <si>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</si>
  <si>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</si>
  <si>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</si>
  <si>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</si>
  <si>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</si>
  <si>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</si>
  <si>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</si>
  <si>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</si>
  <si>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</si>
  <si>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</si>
  <si>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</si>
  <si>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</si>
  <si>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</si>
  <si>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</si>
  <si>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</si>
  <si>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</si>
  <si>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</si>
  <si>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</si>
  <si>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</si>
  <si>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</si>
  <si>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</si>
  <si>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</si>
  <si>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</si>
  <si>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</si>
  <si>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</si>
  <si>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</si>
  <si>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</si>
  <si>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</si>
  <si>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</si>
  <si>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</si>
  <si>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</si>
  <si>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</si>
  <si>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</si>
  <si>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</si>
  <si>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</si>
  <si>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</si>
  <si>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</si>
  <si>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</si>
  <si>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</si>
  <si>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</si>
  <si>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</si>
  <si>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</si>
  <si>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</si>
  <si>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</si>
  <si>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</si>
  <si>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</si>
  <si>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</si>
  <si>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</si>
  <si>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</si>
  <si>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</si>
  <si>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</si>
  <si>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</si>
  <si>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</si>
  <si>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</si>
  <si>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</si>
  <si>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</si>
  <si>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</si>
  <si>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</si>
  <si>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</si>
  <si>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</si>
  <si>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</si>
  <si>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</si>
  <si>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</si>
  <si>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</si>
  <si>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</si>
  <si>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</si>
  <si>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</si>
  <si>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</si>
  <si>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</si>
  <si>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</si>
  <si>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</si>
  <si>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</si>
  <si>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</si>
  <si>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</si>
  <si>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</si>
  <si>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</si>
  <si>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</si>
  <si>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</si>
  <si>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</si>
  <si>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</si>
  <si>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</si>
  <si>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</si>
  <si>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</si>
  <si>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</si>
  <si>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</si>
  <si>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</si>
  <si>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</si>
  <si>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</si>
  <si>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</si>
  <si>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</si>
  <si>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</si>
  <si>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</si>
  <si>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</si>
  <si>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</si>
  <si>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</si>
  <si>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</si>
  <si>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</si>
  <si>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</si>
  <si>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</si>
  <si>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</si>
  <si>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</si>
  <si>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</si>
  <si>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</si>
  <si>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</si>
  <si>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</si>
  <si>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</si>
  <si>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</si>
  <si>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</si>
  <si>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</si>
  <si>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</si>
  <si>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</si>
  <si>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</si>
  <si>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</si>
  <si>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</si>
  <si>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</si>
  <si>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</si>
  <si>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</si>
  <si>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</si>
  <si>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</si>
  <si>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</si>
  <si>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</si>
  <si>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</si>
  <si>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</si>
  <si>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</si>
  <si>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</si>
  <si>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</si>
  <si>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</si>
  <si>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</si>
  <si>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</si>
  <si>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</si>
  <si>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</si>
  <si>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</si>
  <si>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</si>
  <si>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</si>
  <si>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</si>
  <si>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</si>
  <si>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</si>
  <si>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</si>
  <si>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</si>
  <si>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</si>
  <si>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</si>
  <si>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</si>
  <si>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</si>
  <si>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</si>
  <si>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</si>
  <si>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</si>
  <si>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</si>
  <si>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</si>
  <si>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</si>
  <si>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</si>
  <si>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</si>
  <si>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</si>
  <si>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</si>
  <si>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</si>
  <si>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</si>
  <si>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</si>
  <si>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</si>
  <si>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</si>
  <si>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</si>
  <si>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</si>
  <si>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</si>
  <si>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</si>
  <si>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</si>
  <si>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</si>
  <si>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</si>
  <si>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</si>
  <si>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</si>
  <si>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</si>
  <si>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</si>
  <si>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</si>
  <si>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</si>
  <si>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</si>
  <si>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</si>
  <si>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</si>
  <si>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</si>
  <si>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</si>
  <si>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</si>
  <si>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</si>
  <si>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</si>
  <si>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</si>
  <si>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</si>
  <si>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</si>
  <si>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</si>
  <si>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</si>
  <si>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</si>
  <si>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</si>
  <si>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</si>
  <si>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</si>
  <si>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</si>
  <si>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</si>
  <si>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</si>
  <si>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</si>
  <si>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</si>
  <si>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</si>
  <si>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</si>
  <si>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</si>
  <si>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</si>
  <si>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</si>
  <si>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</si>
  <si>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</si>
  <si>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</si>
  <si>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</si>
  <si>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</si>
  <si>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</si>
  <si>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</si>
  <si>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</si>
  <si>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</si>
  <si>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</si>
  <si>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</si>
  <si>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</si>
  <si>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</si>
  <si>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</si>
  <si>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</si>
  <si>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</si>
  <si>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</si>
  <si>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</si>
  <si>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</si>
  <si>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</si>
  <si>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</si>
  <si>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</si>
  <si>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</si>
  <si>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</si>
  <si>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</si>
  <si>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</si>
  <si>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</si>
  <si>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</si>
  <si>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</si>
  <si>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</si>
  <si>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</si>
  <si>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</si>
  <si>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</si>
  <si>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</si>
  <si>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</si>
  <si>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</si>
  <si>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</si>
  <si>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</si>
  <si>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</si>
  <si>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</si>
  <si>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</si>
  <si>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</si>
  <si>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</si>
  <si>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</si>
  <si>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</si>
  <si>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</si>
  <si>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</si>
  <si>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</si>
  <si>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</si>
  <si>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</si>
  <si>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</si>
  <si>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</si>
  <si>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</si>
  <si>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</si>
  <si>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</si>
  <si>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</si>
  <si>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</si>
  <si>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</si>
  <si>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</si>
  <si>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</si>
  <si>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</si>
  <si>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</si>
  <si>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</si>
  <si>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</si>
  <si>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</si>
  <si>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</si>
  <si>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</si>
  <si>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</si>
  <si>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</si>
  <si>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</si>
  <si>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</si>
  <si>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</si>
  <si>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</si>
  <si>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</si>
  <si>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</si>
  <si>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</si>
  <si>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</si>
  <si>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</si>
  <si>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</si>
  <si>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</si>
  <si>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</si>
  <si>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</si>
  <si>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</si>
  <si>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</si>
  <si>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</si>
  <si>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</si>
  <si>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</si>
  <si>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</si>
  <si>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</si>
  <si>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</si>
  <si>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</si>
  <si>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</si>
  <si>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</si>
  <si>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</si>
  <si>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</si>
  <si>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</si>
  <si>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</si>
  <si>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</si>
  <si>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</si>
  <si>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</si>
  <si>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</si>
  <si>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</si>
  <si>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</si>
  <si>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</si>
  <si>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</si>
  <si>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</si>
  <si>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</si>
  <si>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</si>
  <si>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</si>
  <si>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</si>
  <si>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</si>
  <si>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</si>
  <si>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</si>
  <si>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</si>
  <si>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</si>
  <si>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</si>
  <si>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</si>
  <si>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</si>
  <si>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</si>
  <si>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</si>
  <si>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</si>
  <si>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</si>
  <si>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</si>
  <si>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</si>
  <si>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</si>
  <si>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</si>
  <si>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</si>
  <si>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</si>
  <si>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</si>
  <si>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</si>
  <si>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</si>
  <si>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</si>
  <si>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</si>
  <si>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</si>
  <si>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</si>
  <si>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</si>
  <si>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</si>
  <si>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</si>
  <si>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</si>
  <si>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</si>
  <si>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</si>
  <si>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</si>
  <si>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</si>
  <si>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</si>
  <si>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</si>
  <si>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</si>
  <si>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</si>
  <si>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</si>
  <si>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</si>
  <si>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</si>
  <si>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</si>
  <si>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</si>
  <si>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</si>
  <si>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</si>
  <si>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</si>
  <si>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</si>
  <si>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</si>
  <si>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</si>
  <si>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</si>
  <si>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</si>
  <si>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</si>
  <si>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</si>
  <si>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</si>
  <si>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</si>
  <si>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</si>
  <si>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</si>
  <si>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</si>
  <si>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</si>
  <si>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</si>
  <si>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</si>
  <si>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</si>
  <si>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</si>
  <si>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</si>
  <si>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</si>
  <si>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</si>
  <si>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</si>
  <si>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</si>
  <si>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</si>
  <si>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</si>
  <si>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</si>
  <si>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</si>
  <si>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</si>
  <si>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</si>
  <si>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</si>
  <si>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</si>
  <si>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</si>
  <si>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</si>
  <si>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</si>
  <si>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</si>
  <si>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</si>
  <si>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</si>
  <si>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</si>
  <si>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</si>
  <si>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</si>
  <si>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</si>
  <si>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</si>
  <si>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</si>
  <si>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</si>
  <si>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</si>
  <si>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</si>
  <si>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</si>
  <si>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</si>
  <si>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</si>
  <si>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</si>
  <si>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</si>
  <si>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</si>
  <si>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</si>
  <si>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</si>
  <si>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</si>
  <si>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</si>
  <si>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</si>
  <si>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</si>
  <si>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</si>
  <si>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</si>
  <si>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</si>
  <si>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</si>
  <si>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</si>
  <si>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</si>
  <si>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</si>
  <si>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</si>
  <si>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</si>
  <si>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</si>
  <si>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</si>
  <si>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</si>
  <si>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</si>
  <si>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</si>
  <si>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</si>
  <si>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</si>
  <si>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</si>
  <si>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</si>
  <si>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</si>
  <si>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</si>
  <si>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</si>
  <si>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</si>
  <si>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</si>
  <si>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</si>
  <si>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</si>
  <si>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</si>
  <si>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</si>
  <si>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</si>
  <si>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</si>
  <si>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</si>
  <si>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</si>
  <si>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</si>
  <si>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</si>
  <si>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</si>
  <si>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</si>
  <si>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</si>
  <si>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</si>
  <si>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</si>
  <si>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</si>
  <si>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</si>
  <si>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</si>
  <si>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</si>
  <si>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</si>
  <si>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</si>
  <si>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</si>
  <si>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</si>
  <si>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</si>
  <si>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</si>
  <si>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</si>
  <si>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</si>
  <si>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</si>
  <si>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</si>
  <si>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</si>
  <si>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</si>
  <si>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</si>
  <si>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</si>
  <si>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</si>
  <si>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</si>
  <si>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</si>
  <si>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</si>
  <si>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</si>
  <si>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</si>
  <si>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</si>
  <si>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</si>
  <si>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</si>
  <si>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</si>
  <si>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</si>
  <si>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</si>
  <si>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</si>
  <si>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</si>
  <si>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</si>
  <si>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</si>
  <si>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</si>
  <si>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</si>
  <si>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</si>
  <si>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</si>
  <si>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</si>
  <si>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</si>
  <si>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</si>
  <si>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</si>
  <si>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</si>
  <si>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</si>
  <si>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</si>
  <si>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</si>
  <si>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</si>
  <si>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</si>
  <si>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</si>
  <si>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</si>
  <si>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</si>
  <si>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</si>
  <si>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</si>
  <si>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</si>
  <si>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</si>
  <si>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</si>
  <si>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</si>
  <si>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</si>
  <si>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</si>
  <si>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</si>
  <si>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</si>
  <si>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</si>
  <si>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</si>
  <si>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</si>
  <si>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</si>
  <si>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</si>
  <si>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</si>
  <si>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</si>
  <si>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</si>
  <si>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</si>
  <si>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</si>
  <si>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</si>
  <si>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</si>
  <si>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</si>
  <si>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</si>
  <si>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</si>
  <si>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</si>
  <si>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</si>
  <si>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</si>
  <si>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</si>
  <si>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</si>
  <si>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</si>
  <si>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</si>
  <si>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</si>
  <si>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</si>
  <si>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</si>
  <si>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</si>
  <si>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</si>
  <si>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</si>
  <si>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</si>
  <si>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</si>
  <si>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</si>
  <si>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</si>
  <si>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</si>
  <si>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</si>
  <si>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</si>
  <si>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</si>
  <si>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</si>
  <si>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</si>
  <si>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</si>
  <si>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</si>
  <si>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</si>
  <si>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</si>
  <si>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</si>
  <si>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</si>
  <si>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</si>
  <si>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</si>
  <si>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</si>
  <si>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</si>
  <si>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</si>
  <si>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</si>
  <si>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</si>
  <si>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</si>
  <si>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</si>
  <si>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</si>
  <si>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</si>
  <si>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</si>
  <si>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</si>
  <si>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</si>
  <si>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</si>
  <si>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</si>
  <si>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</si>
  <si>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</si>
  <si>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</si>
  <si>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</si>
  <si>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</si>
  <si>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</si>
  <si>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</si>
  <si>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</si>
  <si>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</si>
  <si>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</si>
  <si>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</si>
  <si>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</si>
  <si>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</si>
  <si>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</si>
  <si>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</si>
  <si>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</si>
  <si>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</si>
  <si>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</si>
  <si>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</si>
  <si>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</si>
  <si>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</si>
  <si>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</si>
  <si>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</si>
  <si>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</si>
  <si>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</si>
  <si>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</si>
  <si>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</si>
  <si>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</si>
  <si>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</si>
  <si>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</si>
  <si>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</si>
  <si>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</si>
  <si>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</si>
  <si>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</si>
  <si>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</si>
  <si>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</si>
  <si>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</si>
  <si>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</si>
  <si>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</si>
  <si>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</si>
  <si>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</si>
  <si>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</si>
  <si>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</si>
  <si>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</si>
  <si>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</si>
  <si>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</si>
  <si>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</si>
  <si>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</si>
  <si>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</si>
  <si>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</si>
  <si>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</si>
  <si>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</si>
  <si>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</si>
  <si>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</si>
  <si>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</si>
  <si>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</si>
  <si>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</si>
  <si>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</si>
  <si>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</si>
  <si>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</si>
  <si>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</si>
  <si>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</si>
  <si>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</si>
  <si>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</si>
  <si>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</si>
  <si>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</si>
  <si>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</si>
  <si>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</si>
  <si>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</si>
  <si>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</si>
  <si>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</si>
  <si>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</si>
  <si>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</si>
  <si>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</si>
  <si>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</si>
  <si>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</si>
  <si>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</si>
  <si>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</si>
  <si>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</si>
  <si>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</si>
  <si>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</si>
  <si>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</si>
  <si>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</si>
  <si>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</si>
  <si>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</si>
  <si>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</si>
  <si>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</si>
  <si>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</si>
  <si>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</si>
  <si>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</si>
  <si>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</si>
  <si>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</si>
  <si>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</si>
  <si>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</si>
  <si>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</si>
  <si>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</si>
  <si>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</si>
  <si>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</si>
  <si>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</si>
  <si>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</si>
  <si>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</si>
  <si>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</si>
  <si>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</si>
  <si>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</si>
  <si>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</si>
  <si>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</si>
  <si>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</si>
  <si>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</si>
  <si>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</si>
  <si>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</si>
  <si>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</si>
  <si>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</si>
  <si>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</si>
  <si>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</si>
  <si>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</si>
  <si>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</si>
  <si>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</si>
  <si>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</si>
  <si>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</si>
  <si>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</si>
  <si>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</si>
  <si>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</si>
  <si>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</si>
  <si>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</si>
  <si>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</si>
  <si>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</si>
  <si>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</si>
  <si>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</si>
  <si>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</si>
  <si>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</si>
  <si>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</si>
  <si>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</si>
  <si>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</si>
  <si>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</si>
  <si>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</si>
  <si>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</si>
  <si>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</si>
  <si>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</si>
  <si>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</si>
  <si>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</si>
  <si>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</si>
  <si>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</si>
  <si>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</si>
  <si>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</si>
  <si>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</si>
  <si>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</si>
  <si>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</si>
  <si>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</si>
  <si>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</si>
  <si>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</si>
  <si>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</si>
  <si>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</si>
  <si>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</si>
  <si>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</si>
  <si>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</si>
  <si>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</si>
  <si>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</si>
  <si>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</si>
  <si>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</si>
  <si>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</si>
  <si>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</si>
  <si>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</si>
  <si>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</si>
  <si>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</si>
  <si>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</si>
  <si>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</si>
  <si>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</si>
  <si>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</si>
  <si>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</si>
  <si>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</si>
  <si>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</si>
  <si>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</si>
  <si>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</si>
  <si>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</si>
  <si>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</si>
  <si>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</si>
  <si>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</si>
  <si>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</si>
  <si>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</si>
  <si>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</si>
  <si>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</si>
  <si>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</si>
  <si>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</si>
  <si>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</si>
  <si>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</si>
  <si>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</si>
  <si>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</si>
  <si>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</si>
  <si>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</si>
  <si>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</si>
  <si>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</si>
  <si>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</si>
  <si>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</si>
  <si>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</si>
  <si>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</si>
  <si>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</si>
  <si>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</si>
  <si>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</si>
  <si>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</si>
  <si>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</si>
  <si>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</si>
  <si>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</si>
  <si>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</si>
  <si>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</si>
  <si>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</si>
  <si>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</si>
  <si>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</si>
  <si>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</si>
  <si>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</si>
  <si>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</si>
  <si>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</si>
  <si>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</si>
  <si>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</si>
  <si>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</si>
  <si>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</si>
  <si>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</si>
  <si>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</si>
  <si>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</si>
  <si>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</si>
  <si>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</si>
  <si>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</si>
  <si>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</si>
  <si>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</si>
  <si>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</si>
  <si>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</si>
  <si>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</si>
  <si>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</si>
  <si>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</si>
  <si>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</si>
  <si>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</si>
  <si>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</si>
  <si>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</si>
  <si>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</si>
  <si>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</si>
  <si>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</si>
  <si>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</si>
  <si>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</si>
  <si>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</si>
  <si>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</si>
  <si>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</si>
  <si>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</si>
  <si>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</si>
  <si>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</si>
  <si>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</si>
  <si>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</si>
  <si>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</si>
  <si>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</si>
  <si>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</si>
  <si>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</si>
  <si>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</si>
  <si>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</si>
  <si>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</si>
  <si>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</si>
  <si>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</si>
  <si>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</si>
  <si>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</si>
  <si>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</si>
  <si>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</si>
  <si>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</si>
  <si>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</si>
  <si>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</si>
  <si>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</si>
  <si>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</si>
  <si>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</si>
  <si>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</si>
  <si>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</si>
  <si>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</si>
  <si>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</si>
  <si>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</si>
  <si>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</si>
  <si>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</si>
  <si>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</si>
  <si>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</si>
  <si>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</si>
  <si>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</si>
  <si>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</si>
  <si>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</si>
  <si>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</si>
  <si>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</si>
  <si>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</si>
  <si>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</si>
  <si>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</si>
  <si>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</si>
  <si>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</si>
  <si>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</si>
  <si>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</si>
  <si>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</si>
  <si>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</si>
  <si>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</si>
  <si>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</si>
  <si>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</si>
  <si>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</si>
  <si>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</si>
  <si>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</si>
  <si>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</si>
  <si>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</si>
  <si>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</si>
  <si>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</si>
  <si>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</si>
  <si>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</si>
  <si>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</si>
  <si>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</si>
  <si>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</si>
  <si>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</si>
  <si>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</si>
  <si>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</si>
  <si>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</si>
  <si>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</si>
  <si>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</si>
  <si>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</si>
  <si>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</si>
  <si>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</si>
  <si>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</si>
  <si>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</si>
  <si>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</si>
  <si>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</si>
  <si>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</si>
  <si>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</si>
  <si>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</si>
  <si>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</si>
  <si>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</si>
  <si>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</si>
  <si>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</si>
  <si>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</si>
  <si>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</si>
  <si>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</si>
  <si>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</si>
  <si>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</si>
  <si>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</si>
  <si>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</si>
  <si>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</si>
  <si>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</si>
  <si>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</si>
  <si>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</si>
  <si>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</si>
  <si>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</si>
  <si>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</si>
  <si>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</si>
  <si>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</si>
  <si>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</si>
  <si>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</si>
  <si>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</si>
  <si>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</si>
  <si>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</si>
  <si>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</si>
  <si>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</si>
  <si>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</si>
  <si>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</si>
  <si>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</si>
  <si>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</si>
  <si>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</si>
  <si>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</si>
  <si>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</si>
  <si>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</si>
  <si>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</si>
  <si>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</si>
  <si>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</si>
  <si>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</si>
  <si>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</si>
  <si>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</si>
  <si>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</si>
  <si>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</si>
  <si>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</si>
  <si>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</si>
  <si>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</si>
  <si>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</si>
  <si>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</si>
  <si>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</si>
  <si>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</si>
  <si>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</si>
  <si>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</si>
  <si>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</si>
  <si>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</si>
  <si>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</si>
  <si>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</si>
  <si>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</si>
  <si>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</si>
  <si>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</si>
  <si>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</si>
  <si>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</si>
  <si>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</si>
  <si>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</si>
  <si>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</si>
  <si>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</si>
  <si>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</si>
  <si>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</si>
  <si>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</si>
  <si>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</si>
  <si>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</si>
  <si>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</si>
  <si>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</si>
  <si>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</si>
  <si>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</si>
  <si>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</si>
  <si>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</si>
  <si>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</si>
  <si>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</si>
  <si>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</si>
  <si>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</si>
  <si>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</si>
  <si>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</si>
  <si>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</si>
  <si>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</si>
  <si>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</si>
  <si>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</si>
  <si>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</si>
  <si>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</si>
  <si>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</si>
  <si>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</si>
  <si>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</si>
  <si>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</si>
  <si>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</si>
  <si>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</si>
  <si>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</si>
  <si>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</si>
  <si>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</si>
  <si>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</si>
  <si>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</si>
  <si>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</si>
  <si>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</si>
  <si>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</si>
  <si>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</si>
  <si>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</si>
  <si>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</si>
  <si>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</si>
  <si>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</si>
  <si>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</si>
  <si>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</si>
  <si>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</si>
  <si>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</si>
  <si>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</si>
  <si>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</si>
  <si>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</si>
  <si>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</si>
  <si>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</si>
  <si>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</si>
  <si>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</si>
  <si>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</si>
  <si>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</si>
  <si>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</si>
  <si>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</si>
  <si>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</si>
  <si>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</si>
  <si>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</si>
  <si>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</si>
  <si>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</si>
  <si>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</si>
  <si>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</si>
  <si>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</si>
  <si>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</si>
  <si>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</si>
  <si>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</si>
  <si>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</si>
  <si>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</si>
  <si>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</si>
  <si>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</si>
  <si>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</si>
  <si>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</si>
  <si>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</si>
  <si>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</si>
  <si>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</si>
  <si>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</si>
  <si>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</si>
  <si>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</si>
  <si>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</si>
  <si>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</si>
  <si>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</si>
  <si>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</si>
  <si>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</si>
  <si>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</si>
  <si>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</si>
  <si>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</si>
  <si>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</si>
  <si>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</si>
  <si>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</si>
  <si>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</si>
  <si>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</si>
  <si>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</si>
  <si>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</si>
  <si>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</si>
  <si>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</si>
  <si>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</si>
  <si>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</si>
  <si>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</si>
  <si>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</si>
  <si>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</si>
  <si>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</si>
  <si>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</si>
  <si>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</si>
  <si>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</si>
  <si>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</si>
  <si>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</si>
  <si>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</si>
  <si>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</si>
  <si>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</si>
  <si>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</si>
  <si>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</si>
  <si>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</si>
  <si>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</si>
  <si>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</si>
  <si>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</si>
  <si>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</si>
  <si>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</si>
  <si>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</si>
  <si>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</si>
  <si>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</si>
  <si>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</si>
  <si>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</si>
  <si>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</si>
  <si>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</si>
  <si>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</si>
  <si>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</si>
  <si>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</si>
  <si>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</si>
  <si>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</si>
  <si>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</si>
  <si>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</si>
  <si>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</si>
  <si>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</si>
  <si>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</si>
  <si>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</si>
  <si>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</si>
  <si>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</si>
  <si>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</si>
  <si>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</si>
  <si>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</si>
  <si>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</si>
  <si>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</si>
  <si>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</si>
  <si>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</si>
  <si>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</si>
  <si>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</si>
  <si>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</si>
  <si>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</si>
  <si>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</si>
  <si>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</si>
  <si>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</si>
  <si>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</si>
  <si>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</si>
  <si>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</si>
  <si>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</si>
  <si>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</si>
  <si>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</si>
  <si>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</si>
  <si>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</si>
  <si>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</si>
  <si>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</si>
  <si>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</si>
  <si>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</si>
  <si>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</si>
  <si>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</si>
  <si>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</si>
  <si>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</si>
  <si>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</si>
  <si>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</si>
  <si>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</si>
  <si>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</si>
  <si>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</si>
  <si>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</si>
  <si>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</si>
  <si>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</si>
  <si>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</si>
  <si>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</si>
  <si>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</si>
  <si>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</si>
  <si>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</si>
  <si>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</si>
  <si>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</si>
  <si>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</si>
  <si>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</si>
  <si>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</si>
  <si>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</si>
  <si>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</si>
  <si>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</si>
  <si>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</si>
  <si>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</si>
  <si>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</si>
  <si>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</si>
  <si>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</si>
  <si>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</si>
  <si>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</si>
  <si>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</si>
  <si>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</si>
  <si>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</si>
  <si>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</si>
  <si>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</si>
  <si>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</si>
  <si>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</si>
  <si>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</si>
  <si>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</si>
  <si>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</si>
  <si>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</si>
  <si>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</si>
  <si>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</si>
  <si>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</si>
  <si>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</si>
  <si>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</si>
  <si>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</si>
  <si>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</si>
  <si>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</si>
  <si>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</si>
  <si>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</si>
  <si>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</si>
  <si>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</si>
  <si>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</si>
  <si>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</si>
  <si>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</si>
  <si>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</si>
  <si>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</si>
  <si>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</si>
  <si>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</si>
  <si>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</si>
  <si>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</si>
  <si>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</si>
  <si>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</si>
  <si>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</si>
  <si>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</si>
  <si>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</si>
  <si>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</si>
  <si>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</si>
  <si>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</si>
  <si>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</si>
  <si>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</si>
  <si>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</si>
  <si>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</si>
  <si>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</si>
  <si>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</si>
  <si>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</si>
  <si>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</si>
  <si>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</si>
  <si>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</si>
  <si>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</si>
  <si>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</si>
  <si>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</si>
  <si>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</si>
  <si>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</si>
  <si>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</si>
  <si>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</si>
  <si>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</si>
  <si>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</si>
  <si>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</si>
  <si>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</si>
  <si>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</si>
  <si>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</si>
  <si>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</si>
  <si>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</si>
  <si>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</si>
  <si>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</si>
  <si>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</si>
  <si>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</si>
  <si>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</si>
  <si>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</si>
  <si>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</si>
  <si>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</si>
  <si>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</si>
  <si>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</si>
  <si>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</si>
  <si>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</si>
  <si>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</si>
  <si>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</si>
  <si>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</si>
  <si>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</si>
  <si>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</si>
  <si>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</si>
  <si>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</si>
  <si>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</si>
  <si>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</si>
  <si>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</si>
  <si>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</si>
  <si>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</si>
  <si>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</si>
  <si>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</si>
  <si>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</si>
  <si>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</si>
  <si>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</si>
  <si>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</si>
  <si>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</si>
  <si>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</si>
  <si>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</si>
  <si>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</si>
  <si>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</si>
  <si>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</si>
  <si>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</si>
  <si>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</si>
  <si>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</si>
  <si>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</si>
  <si>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</si>
  <si>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</si>
  <si>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</si>
  <si>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</si>
  <si>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</si>
  <si>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</si>
  <si>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</si>
  <si>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</si>
  <si>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</si>
  <si>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</si>
  <si>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</si>
  <si>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</si>
  <si>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</si>
  <si>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</si>
  <si>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</si>
  <si>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</si>
  <si>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</si>
  <si>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</si>
  <si>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</si>
  <si>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</si>
  <si>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</si>
  <si>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</si>
  <si>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</si>
  <si>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</si>
  <si>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</si>
  <si>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</si>
  <si>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</si>
  <si>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</si>
  <si>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</si>
  <si>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</si>
  <si>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</si>
  <si>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</si>
  <si>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</si>
  <si>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</si>
  <si>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</si>
  <si>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</si>
  <si>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</si>
  <si>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</si>
  <si>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</si>
  <si>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</si>
  <si>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</si>
  <si>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</si>
  <si>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</si>
  <si>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</si>
  <si>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</si>
  <si>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</si>
  <si>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</si>
  <si>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</si>
  <si>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</si>
  <si>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</si>
  <si>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</si>
  <si>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</si>
  <si>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</si>
  <si>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</si>
  <si>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</si>
  <si>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</si>
  <si>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</si>
  <si>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</si>
  <si>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</si>
  <si>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</si>
  <si>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</si>
  <si>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</si>
  <si>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</si>
  <si>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</si>
  <si>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</si>
  <si>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</si>
  <si>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</si>
  <si>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</si>
  <si>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</si>
  <si>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</si>
  <si>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</si>
  <si>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</si>
  <si>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</si>
  <si>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</si>
  <si>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</si>
  <si>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</si>
  <si>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</si>
  <si>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</si>
  <si>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</si>
  <si>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</si>
  <si>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</si>
  <si>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</si>
  <si>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</si>
  <si>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</si>
  <si>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</si>
  <si>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</si>
  <si>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</si>
  <si>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</si>
  <si>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</si>
  <si>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</si>
  <si>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</si>
  <si>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</si>
  <si>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</si>
  <si>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</si>
  <si>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</si>
  <si>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</si>
  <si>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</si>
  <si>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</si>
  <si>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</si>
  <si>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</si>
  <si>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</si>
  <si>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</si>
  <si>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</si>
  <si>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</si>
  <si>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</si>
  <si>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</si>
  <si>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</si>
  <si>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</si>
  <si>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</si>
  <si>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</si>
  <si>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</si>
  <si>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</si>
  <si>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</si>
  <si>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</si>
  <si>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</si>
  <si>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</si>
  <si>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</si>
  <si>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</si>
  <si>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</si>
  <si>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</si>
  <si>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</si>
  <si>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</si>
  <si>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</si>
  <si>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</si>
  <si>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</si>
  <si>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</si>
  <si>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</si>
  <si>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</si>
  <si>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</si>
  <si>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</si>
  <si>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</si>
  <si>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</si>
  <si>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</si>
  <si>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</si>
  <si>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</si>
  <si>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</si>
  <si>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</si>
  <si>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</si>
  <si>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</si>
  <si>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</si>
  <si>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</si>
  <si>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</si>
  <si>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</si>
  <si>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</si>
  <si>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</si>
  <si>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</si>
  <si>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</si>
  <si>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</si>
  <si>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</si>
  <si>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</si>
  <si>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</si>
  <si>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</si>
  <si>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</si>
  <si>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</si>
  <si>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</si>
  <si>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</si>
  <si>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</si>
  <si>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</si>
  <si>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</si>
  <si>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</si>
  <si>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</si>
  <si>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</si>
  <si>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</si>
  <si>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</si>
  <si>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</si>
  <si>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</si>
  <si>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</si>
  <si>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</si>
  <si>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</si>
  <si>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</si>
  <si>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</si>
  <si>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</si>
  <si>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</si>
  <si>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</si>
  <si>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</si>
  <si>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</si>
  <si>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</si>
  <si>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</si>
  <si>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</si>
  <si>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</si>
  <si>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</si>
  <si>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</si>
  <si>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</si>
  <si>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</si>
  <si>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</si>
  <si>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</si>
  <si>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</si>
  <si>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</si>
  <si>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</si>
  <si>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</si>
  <si>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</si>
  <si>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</si>
  <si>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</si>
  <si>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</si>
  <si>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</si>
  <si>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</si>
  <si>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</si>
  <si>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</si>
  <si>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</si>
  <si>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</si>
  <si>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</si>
  <si>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</si>
  <si>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</si>
  <si>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</si>
  <si>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</si>
  <si>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</si>
  <si>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</si>
  <si>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</si>
  <si>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</si>
  <si>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</si>
  <si>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</si>
  <si>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</si>
  <si>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</si>
  <si>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</si>
  <si>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</si>
  <si>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</si>
  <si>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</si>
  <si>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</si>
  <si>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</si>
  <si>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</si>
  <si>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</si>
  <si>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</si>
  <si>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</si>
  <si>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</si>
  <si>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</si>
  <si>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</si>
  <si>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</si>
  <si>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</si>
  <si>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</si>
  <si>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</si>
  <si>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</si>
  <si>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</si>
  <si>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</si>
  <si>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</si>
  <si>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</si>
  <si>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</si>
  <si>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</si>
  <si>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</si>
  <si>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</si>
  <si>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</si>
  <si>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</si>
  <si>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</si>
  <si>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</si>
  <si>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</si>
  <si>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</si>
  <si>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</si>
  <si>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</si>
  <si>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</si>
  <si>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</si>
  <si>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</si>
  <si>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</si>
  <si>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</si>
  <si>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</si>
  <si>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</si>
  <si>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</si>
  <si>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</si>
  <si>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</si>
  <si>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</si>
  <si>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</si>
  <si>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</si>
  <si>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</si>
  <si>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</si>
  <si>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</si>
  <si>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</si>
  <si>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</si>
  <si>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</si>
  <si>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</si>
  <si>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</si>
  <si>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</si>
  <si>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</si>
  <si>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</si>
  <si>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</si>
  <si>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</si>
  <si>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</si>
  <si>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</si>
  <si>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</si>
  <si>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</si>
  <si>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</si>
  <si>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</si>
  <si>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</si>
  <si>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</si>
  <si>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</si>
  <si>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</si>
  <si>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</si>
  <si>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</si>
  <si>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</si>
  <si>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</si>
  <si>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</si>
  <si>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</si>
  <si>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</si>
  <si>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</si>
  <si>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</si>
  <si>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</si>
  <si>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</si>
  <si>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</si>
  <si>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</si>
  <si>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</si>
  <si>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</si>
  <si>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</si>
  <si>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</si>
  <si>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</si>
  <si>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</si>
  <si>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</si>
  <si>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</si>
  <si>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</si>
  <si>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</si>
  <si>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</si>
  <si>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</si>
  <si>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</si>
  <si>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</si>
  <si>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</si>
  <si>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</si>
  <si>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</si>
  <si>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</si>
  <si>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</si>
  <si>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</si>
  <si>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</si>
  <si>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</si>
  <si>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</si>
  <si>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</si>
  <si>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</si>
  <si>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</si>
  <si>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</si>
  <si>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</si>
  <si>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</si>
  <si>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</si>
  <si>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</si>
  <si>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</si>
  <si>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</si>
  <si>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</si>
  <si>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</si>
  <si>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</si>
  <si>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</si>
  <si>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</si>
  <si>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</si>
  <si>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</si>
  <si>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</si>
  <si>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</si>
  <si>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</si>
  <si>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</si>
  <si>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</si>
  <si>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</si>
  <si>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</si>
  <si>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</si>
  <si>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</si>
  <si>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</si>
  <si>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</si>
  <si>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</si>
  <si>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</si>
  <si>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</si>
  <si>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</si>
  <si>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</si>
  <si>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</si>
  <si>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</si>
  <si>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</si>
  <si>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</si>
  <si>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</si>
  <si>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</si>
  <si>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</si>
  <si>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</si>
  <si>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</si>
  <si>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</si>
  <si>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</si>
  <si>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</si>
  <si>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</si>
  <si>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</si>
  <si>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</si>
  <si>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</si>
  <si>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</si>
  <si>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</si>
  <si>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</si>
  <si>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</si>
  <si>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</si>
  <si>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</si>
  <si>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</si>
  <si>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</si>
  <si>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</si>
  <si>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</si>
  <si>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</si>
  <si>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</si>
  <si>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</si>
  <si>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</si>
  <si>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</si>
  <si>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</si>
  <si>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</si>
  <si>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</si>
  <si>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</si>
  <si>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</si>
  <si>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</si>
  <si>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</si>
  <si>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</si>
  <si>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</si>
  <si>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</si>
  <si>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</si>
  <si>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</si>
  <si>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</si>
  <si>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</si>
  <si>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</si>
  <si>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</si>
  <si>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</si>
  <si>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</si>
  <si>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</si>
  <si>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</si>
  <si>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</si>
  <si>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</si>
  <si>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</si>
  <si>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</si>
  <si>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</si>
  <si>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</si>
  <si>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</si>
  <si>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</si>
  <si>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</si>
  <si>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</si>
  <si>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</si>
  <si>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</si>
  <si>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</si>
  <si>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</si>
  <si>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</si>
  <si>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</si>
  <si>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</si>
  <si>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</si>
  <si>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</si>
  <si>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</si>
  <si>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</si>
  <si>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</si>
  <si>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</si>
  <si>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</si>
  <si>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</si>
  <si>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</si>
  <si>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</si>
  <si>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</si>
  <si>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</si>
  <si>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</si>
  <si>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</si>
  <si>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</si>
  <si>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</si>
  <si>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</si>
  <si>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</si>
  <si>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</si>
  <si>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</si>
  <si>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</si>
  <si>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</si>
  <si>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</si>
  <si>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</si>
  <si>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</si>
  <si>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</si>
  <si>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</si>
  <si>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</si>
  <si>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</si>
  <si>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</si>
  <si>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</si>
  <si>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</si>
  <si>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</si>
  <si>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</si>
  <si>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</si>
  <si>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</si>
  <si>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</si>
  <si>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</si>
  <si>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</si>
  <si>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</si>
  <si>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</si>
  <si>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</si>
  <si>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</si>
  <si>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</si>
  <si>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</si>
  <si>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</si>
  <si>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</si>
  <si>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</si>
  <si>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</si>
  <si>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</si>
  <si>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</si>
  <si>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</si>
  <si>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</si>
  <si>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</si>
  <si>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</si>
  <si>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</si>
  <si>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</si>
  <si>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</si>
  <si>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</si>
  <si>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</si>
  <si>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</si>
  <si>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</si>
  <si>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</si>
  <si>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</si>
  <si>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</si>
  <si>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</si>
  <si>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</si>
  <si>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</si>
  <si>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</si>
  <si>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</si>
  <si>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</si>
  <si>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</si>
  <si>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</si>
  <si>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</si>
  <si>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</si>
  <si>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</si>
  <si>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</si>
  <si>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</si>
  <si>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</si>
  <si>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</si>
  <si>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</si>
  <si>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</si>
  <si>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</si>
  <si>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</si>
  <si>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</si>
  <si>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</si>
  <si>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</si>
  <si>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</si>
  <si>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</si>
  <si>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</si>
  <si>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</si>
  <si>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</si>
  <si>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</si>
  <si>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</si>
  <si>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</si>
  <si>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</si>
  <si>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</si>
  <si>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</si>
  <si>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</si>
  <si>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</si>
  <si>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</si>
  <si>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</si>
  <si>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</si>
  <si>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</si>
  <si>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</si>
  <si>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</si>
  <si>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</si>
  <si>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</si>
  <si>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</si>
  <si>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</si>
  <si>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</si>
  <si>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</si>
  <si>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</si>
  <si>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</si>
  <si>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</si>
  <si>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</si>
  <si>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</si>
  <si>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</si>
  <si>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</si>
  <si>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</si>
  <si>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</si>
  <si>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</si>
  <si>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</si>
  <si>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</si>
  <si>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</si>
  <si>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</si>
  <si>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</si>
  <si>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</si>
  <si>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</si>
  <si>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</si>
  <si>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</si>
  <si>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</si>
  <si>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</si>
  <si>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</si>
  <si>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</si>
  <si>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</si>
  <si>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</si>
  <si>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</si>
  <si>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</si>
  <si>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</si>
  <si>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</si>
  <si>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</si>
  <si>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</si>
  <si>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</si>
  <si>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</si>
  <si>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</si>
  <si>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</si>
  <si>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</si>
  <si>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</si>
  <si>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</si>
  <si>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</si>
  <si>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</si>
  <si>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</si>
  <si>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</si>
  <si>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</si>
  <si>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</si>
  <si>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</si>
  <si>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</si>
  <si>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</si>
  <si>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</si>
  <si>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</si>
  <si>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</si>
  <si>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</si>
  <si>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</si>
  <si>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</si>
  <si>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</si>
  <si>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</si>
  <si>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</si>
  <si>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</si>
  <si>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</si>
  <si>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</si>
  <si>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</si>
  <si>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</si>
  <si>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</si>
  <si>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</si>
  <si>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</si>
  <si>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</si>
  <si>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</si>
  <si>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</si>
  <si>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</si>
  <si>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</si>
  <si>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</si>
  <si>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</si>
  <si>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</si>
  <si>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</si>
  <si>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</si>
  <si>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</si>
  <si>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</si>
  <si>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</si>
  <si>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</si>
  <si>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</si>
  <si>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</si>
  <si>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</si>
  <si>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</si>
  <si>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</si>
  <si>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</si>
  <si>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</si>
  <si>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</si>
  <si>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</si>
  <si>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</si>
  <si>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</si>
  <si>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</si>
  <si>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</si>
  <si>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</si>
  <si>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</si>
  <si>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</si>
  <si>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</si>
  <si>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</si>
  <si>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</si>
  <si>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</si>
  <si>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</si>
  <si>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</si>
  <si>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</si>
  <si>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</si>
  <si>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</si>
  <si>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</si>
  <si>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</si>
  <si>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</si>
  <si>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</si>
  <si>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</si>
  <si>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</si>
  <si>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</si>
  <si>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</si>
  <si>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</si>
  <si>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</si>
  <si>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</si>
  <si>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</si>
  <si>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</si>
  <si>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</si>
  <si>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</si>
  <si>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</si>
  <si>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</si>
  <si>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</si>
  <si>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</si>
  <si>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</si>
  <si>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</si>
  <si>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</si>
  <si>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</si>
  <si>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</si>
  <si>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</si>
  <si>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</si>
  <si>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</si>
  <si>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</si>
  <si>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</si>
  <si>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</si>
  <si>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</si>
  <si>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</si>
  <si>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</si>
  <si>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</si>
  <si>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</si>
  <si>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</si>
  <si>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</si>
  <si>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</si>
  <si>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</si>
  <si>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</si>
  <si>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</si>
  <si>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</si>
  <si>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</si>
  <si>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</si>
  <si>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</si>
  <si>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</si>
  <si>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</si>
  <si>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</si>
  <si>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</si>
  <si>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</si>
  <si>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</si>
  <si>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</si>
  <si>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</si>
  <si>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</si>
  <si>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</si>
  <si>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</si>
  <si>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</si>
  <si>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</si>
  <si>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</si>
  <si>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</si>
  <si>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</si>
  <si>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</si>
  <si>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</si>
  <si>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</si>
  <si>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</si>
  <si>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</si>
  <si>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</si>
  <si>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</si>
  <si>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</si>
  <si>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</si>
  <si>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</si>
  <si>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</si>
  <si>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</si>
  <si>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</si>
  <si>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</si>
  <si>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</si>
  <si>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</si>
  <si>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</si>
  <si>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</si>
  <si>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</si>
  <si>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</si>
  <si>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</si>
  <si>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</si>
  <si>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</si>
  <si>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</si>
  <si>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</si>
  <si>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</si>
  <si>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</si>
  <si>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</si>
  <si>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</si>
  <si>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</si>
  <si>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</si>
  <si>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</si>
  <si>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</si>
  <si>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</si>
  <si>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</si>
  <si>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</si>
  <si>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</si>
  <si>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</si>
  <si>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</si>
  <si>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</si>
  <si>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</si>
  <si>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</si>
  <si>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</si>
  <si>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</si>
  <si>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</si>
  <si>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</si>
  <si>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</si>
  <si>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</si>
  <si>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</si>
  <si>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</si>
  <si>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</si>
  <si>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</si>
  <si>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</si>
  <si>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</si>
  <si>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</si>
  <si>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</si>
  <si>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</si>
  <si>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</si>
  <si>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</si>
  <si>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</si>
  <si>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</si>
  <si>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</si>
  <si>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</si>
  <si>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</si>
  <si>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</si>
  <si>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</si>
  <si>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</si>
  <si>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</si>
  <si>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</si>
  <si>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</si>
  <si>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</si>
  <si>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</si>
  <si>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</si>
  <si>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</si>
  <si>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</si>
  <si>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</si>
  <si>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</si>
  <si>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</si>
  <si>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</si>
  <si>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</si>
  <si>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</si>
  <si>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</si>
  <si>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</si>
  <si>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</si>
  <si>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</si>
  <si>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</si>
  <si>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</si>
  <si>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</si>
  <si>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</si>
  <si>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</si>
  <si>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</si>
  <si>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</si>
  <si>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</si>
  <si>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</si>
  <si>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</si>
  <si>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</si>
  <si>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</si>
  <si>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</si>
  <si>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</si>
  <si>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</si>
  <si>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</si>
  <si>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</si>
  <si>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</si>
  <si>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</si>
  <si>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</si>
  <si>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</si>
  <si>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</si>
  <si>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</si>
  <si>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</si>
  <si>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</si>
  <si>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</si>
  <si>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</si>
  <si>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</si>
  <si>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</si>
  <si>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</si>
  <si>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</si>
  <si>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</si>
  <si>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</si>
  <si>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</si>
  <si>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</si>
  <si>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</si>
  <si>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</si>
  <si>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</si>
  <si>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</si>
  <si>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</si>
  <si>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</si>
  <si>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</si>
  <si>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</si>
  <si>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</si>
  <si>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</si>
  <si>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</si>
  <si>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</si>
  <si>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</si>
  <si>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</si>
  <si>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</si>
  <si>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</si>
  <si>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</si>
  <si>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</si>
  <si>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</si>
  <si>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</si>
  <si>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</si>
  <si>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</si>
  <si>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</si>
  <si>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</si>
  <si>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</si>
  <si>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</si>
  <si>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</si>
  <si>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</si>
  <si>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</si>
  <si>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</si>
  <si>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</si>
  <si>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</si>
  <si>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</si>
  <si>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</si>
  <si>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</si>
  <si>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</si>
  <si>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</si>
  <si>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</si>
  <si>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</si>
  <si>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</si>
  <si>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</si>
  <si>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</si>
  <si>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</si>
  <si>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</si>
  <si>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</si>
  <si>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</si>
  <si>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</si>
  <si>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</si>
  <si>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</si>
  <si>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</si>
  <si>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</si>
  <si>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</si>
  <si>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</si>
  <si>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</si>
  <si>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</si>
  <si>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</si>
  <si>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</si>
  <si>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</si>
  <si>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</si>
  <si>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</si>
  <si>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</si>
  <si>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</si>
  <si>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</si>
  <si>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</si>
  <si>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</si>
  <si>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</si>
  <si>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</si>
  <si>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</si>
  <si>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</si>
  <si>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</si>
  <si>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</si>
  <si>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</si>
  <si>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</si>
  <si>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</si>
  <si>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</si>
  <si>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</si>
  <si>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</si>
  <si>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</si>
  <si>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</si>
  <si>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</si>
  <si>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</si>
  <si>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</si>
  <si>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</si>
  <si>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</si>
  <si>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</si>
  <si>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</si>
  <si>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</si>
  <si>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</si>
  <si>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</si>
  <si>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</si>
  <si>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</si>
  <si>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</si>
  <si>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</si>
  <si>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</si>
  <si>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</si>
  <si>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</si>
  <si>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</si>
  <si>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</si>
  <si>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</si>
  <si>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</si>
  <si>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</si>
  <si>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</si>
  <si>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</si>
  <si>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</si>
  <si>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</si>
  <si>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</si>
  <si>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</si>
  <si>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</si>
  <si>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</si>
  <si>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</si>
  <si>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</si>
  <si>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</si>
  <si>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</si>
  <si>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</si>
  <si>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</si>
  <si>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</si>
  <si>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</si>
  <si>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</si>
  <si>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</si>
  <si>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</si>
  <si>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</si>
  <si>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</si>
  <si>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</si>
  <si>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</si>
  <si>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</si>
  <si>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</si>
  <si>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</si>
  <si>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</si>
  <si>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</si>
  <si>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</si>
  <si>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</si>
  <si>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</si>
  <si>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</si>
  <si>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</si>
  <si>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</si>
  <si>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</si>
  <si>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</si>
  <si>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</si>
  <si>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</si>
  <si>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</si>
  <si>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</si>
  <si>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</si>
  <si>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</si>
  <si>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</si>
  <si>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</si>
  <si>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</si>
  <si>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</si>
  <si>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</si>
  <si>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</si>
  <si>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</si>
  <si>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</si>
  <si>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</si>
  <si>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</si>
  <si>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</si>
  <si>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</si>
  <si>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</si>
  <si>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</si>
  <si>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</si>
  <si>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</si>
  <si>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</si>
  <si>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</si>
  <si>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</si>
  <si>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</si>
  <si>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</si>
  <si>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</si>
  <si>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</si>
  <si>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</si>
  <si>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</si>
  <si>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</si>
  <si>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</si>
  <si>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</si>
  <si>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</si>
  <si>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</si>
  <si>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</si>
  <si>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</si>
  <si>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</si>
  <si>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</si>
  <si>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</si>
  <si>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</si>
  <si>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</si>
  <si>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</si>
  <si>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</si>
  <si>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</si>
  <si>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</si>
  <si>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</si>
  <si>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</si>
  <si>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</si>
  <si>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</si>
  <si>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</si>
  <si>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</si>
  <si>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</si>
  <si>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</si>
  <si>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</si>
  <si>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</si>
  <si>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</si>
  <si>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</si>
  <si>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</si>
  <si>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</si>
  <si>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</si>
  <si>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</si>
  <si>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</si>
  <si>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</si>
  <si>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</si>
  <si>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</si>
  <si>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</si>
  <si>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</si>
  <si>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</si>
  <si>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</si>
  <si>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</si>
  <si>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</si>
  <si>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</si>
  <si>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</si>
  <si>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</si>
  <si>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</si>
  <si>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</si>
  <si>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</si>
  <si>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</si>
  <si>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</si>
  <si>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</si>
  <si>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</si>
  <si>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</si>
  <si>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</si>
  <si>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</si>
  <si>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</si>
  <si>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</si>
  <si>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</si>
  <si>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</si>
  <si>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</si>
  <si>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</si>
  <si>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</si>
  <si>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</si>
  <si>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</si>
  <si>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</si>
  <si>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</si>
  <si>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</si>
  <si>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</si>
  <si>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</si>
  <si>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</si>
  <si>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</si>
  <si>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</si>
  <si>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</si>
  <si>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</si>
  <si>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</si>
  <si>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</si>
  <si>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</si>
  <si>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</si>
  <si>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</si>
  <si>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</si>
  <si>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</si>
  <si>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</si>
  <si>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</si>
  <si>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</si>
  <si>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</si>
  <si>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</si>
  <si>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</si>
  <si>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</si>
  <si>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</si>
  <si>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</si>
  <si>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</si>
  <si>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</si>
  <si>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</si>
  <si>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</si>
  <si>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</si>
  <si>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</si>
  <si>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</si>
  <si>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</si>
  <si>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</si>
  <si>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</si>
  <si>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</si>
  <si>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</si>
  <si>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</si>
  <si>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</si>
  <si>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</si>
  <si>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</si>
  <si>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</si>
  <si>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</si>
  <si>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</si>
  <si>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</si>
  <si>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</si>
  <si>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</si>
  <si>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</si>
  <si>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</si>
  <si>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</si>
  <si>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</si>
  <si>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</si>
  <si>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</si>
  <si>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</si>
  <si>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</si>
  <si>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</si>
  <si>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</si>
  <si>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</si>
  <si>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</si>
  <si>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</si>
  <si>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</si>
  <si>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</si>
  <si>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</si>
  <si>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</si>
  <si>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</si>
  <si>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</si>
  <si>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</si>
  <si>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</si>
  <si>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</si>
  <si>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</si>
  <si>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</si>
  <si>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</si>
  <si>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</si>
  <si>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</si>
  <si>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</si>
  <si>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</si>
  <si>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</si>
  <si>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</si>
  <si>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</si>
  <si>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</si>
  <si>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</si>
  <si>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</si>
  <si>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</si>
  <si>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</si>
  <si>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</si>
  <si>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</si>
  <si>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</si>
  <si>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</si>
  <si>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</si>
  <si>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</si>
  <si>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</si>
  <si>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</si>
  <si>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</si>
  <si>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</si>
  <si>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</si>
  <si>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</si>
  <si>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</si>
  <si>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</si>
  <si>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</si>
  <si>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</si>
  <si>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</si>
  <si>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</si>
  <si>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</si>
  <si>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</si>
  <si>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</si>
  <si>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</si>
  <si>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</si>
  <si>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</si>
  <si>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</si>
  <si>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</si>
  <si>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</si>
  <si>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</si>
  <si>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</si>
  <si>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</si>
  <si>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</si>
  <si>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</si>
  <si>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</si>
  <si>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</si>
  <si>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</si>
  <si>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</si>
  <si>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</si>
  <si>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</si>
  <si>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</si>
  <si>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</si>
  <si>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</si>
  <si>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</si>
  <si>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</si>
  <si>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</si>
  <si>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</si>
  <si>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</si>
  <si>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</si>
  <si>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</si>
  <si>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</si>
  <si>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</si>
  <si>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</si>
  <si>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</si>
  <si>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</si>
  <si>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</si>
  <si>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</si>
  <si>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</si>
  <si>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</si>
  <si>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</si>
  <si>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</si>
  <si>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</si>
  <si>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</si>
  <si>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</si>
  <si>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</si>
  <si>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</si>
  <si>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</si>
  <si>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</si>
  <si>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</si>
  <si>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</si>
  <si>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</si>
  <si>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</si>
  <si>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</si>
  <si>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</si>
  <si>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</si>
  <si>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</si>
  <si>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</si>
  <si>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</si>
  <si>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</si>
  <si>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</si>
  <si>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</si>
  <si>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</si>
  <si>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</si>
  <si>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</si>
  <si>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</si>
  <si>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</si>
  <si>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</si>
  <si>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</si>
  <si>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</si>
  <si>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</si>
  <si>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</si>
  <si>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</si>
  <si>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</si>
  <si>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</si>
  <si>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</si>
  <si>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</si>
  <si>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</si>
  <si>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</si>
  <si>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</si>
  <si>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</si>
  <si>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</si>
  <si>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</si>
  <si>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</si>
  <si>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</si>
  <si>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</si>
  <si>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</si>
  <si>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</si>
  <si>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</si>
  <si>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</si>
  <si>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</si>
  <si>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</si>
  <si>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</si>
  <si>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</si>
  <si>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</si>
  <si>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</si>
  <si>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</si>
  <si>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</si>
  <si>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</si>
  <si>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</si>
  <si>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</si>
  <si>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</si>
  <si>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</si>
  <si>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</si>
  <si>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</si>
  <si>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</si>
  <si>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</si>
  <si>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</si>
  <si>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</si>
  <si>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</si>
  <si>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</si>
  <si>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</si>
  <si>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</si>
  <si>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</si>
  <si>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</si>
  <si>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</si>
  <si>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</si>
  <si>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</si>
  <si>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</si>
  <si>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</si>
  <si>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</si>
  <si>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</si>
  <si>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</si>
  <si>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</si>
  <si>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</si>
  <si>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</si>
  <si>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</si>
  <si>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</si>
  <si>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</si>
  <si>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</si>
  <si>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</si>
  <si>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</si>
  <si>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</si>
  <si>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</si>
  <si>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</si>
  <si>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</si>
  <si>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</si>
  <si>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</si>
  <si>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</si>
  <si>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</si>
  <si>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</si>
  <si>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</si>
  <si>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</si>
  <si>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</si>
  <si>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</si>
  <si>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</si>
  <si>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</si>
  <si>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</si>
  <si>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</si>
  <si>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</si>
  <si>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</si>
  <si>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</si>
  <si>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</si>
  <si>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</si>
  <si>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</si>
  <si>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</si>
  <si>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</si>
  <si>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</si>
  <si>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</si>
  <si>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</si>
  <si>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</si>
  <si>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</si>
  <si>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</si>
  <si>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</si>
  <si>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</si>
  <si>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</si>
  <si>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</si>
  <si>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</si>
  <si>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</si>
  <si>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</si>
  <si>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</si>
  <si>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</si>
  <si>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</si>
  <si>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</si>
  <si>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</si>
  <si>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</si>
  <si>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</si>
  <si>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</si>
  <si>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</si>
  <si>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</si>
  <si>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</si>
  <si>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</si>
  <si>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</si>
  <si>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</si>
  <si>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</si>
  <si>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</si>
  <si>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</si>
  <si>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</si>
  <si>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</si>
  <si>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</si>
  <si>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</si>
  <si>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</si>
  <si>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</si>
  <si>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</si>
  <si>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</si>
  <si>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</si>
  <si>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</si>
  <si>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</si>
  <si>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</si>
  <si>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</si>
  <si>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</si>
  <si>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</si>
  <si>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</si>
  <si>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</si>
  <si>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</si>
  <si>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</si>
  <si>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</si>
  <si>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</si>
  <si>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</si>
  <si>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</si>
  <si>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</si>
  <si>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</si>
  <si>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</si>
  <si>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</si>
  <si>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</si>
  <si>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</si>
  <si>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</si>
  <si>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</si>
  <si>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</si>
  <si>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</si>
  <si>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</si>
  <si>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</si>
  <si>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</si>
  <si>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</si>
  <si>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</si>
  <si>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</si>
  <si>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</si>
  <si>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</si>
  <si>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</si>
  <si>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</si>
  <si>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</si>
  <si>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</si>
  <si>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</si>
  <si>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</si>
  <si>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</si>
  <si>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</si>
  <si>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</si>
  <si>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</si>
  <si>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</si>
  <si>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</si>
  <si>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</si>
  <si>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</si>
  <si>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</si>
  <si>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</si>
  <si>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</si>
  <si>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</si>
  <si>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</si>
  <si>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</si>
  <si>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</si>
  <si>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</si>
  <si>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</si>
  <si>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</si>
  <si>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</si>
  <si>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</si>
  <si>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</si>
  <si>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</si>
  <si>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</si>
  <si>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</si>
  <si>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</si>
  <si>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</si>
  <si>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</si>
  <si>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</si>
  <si>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</si>
  <si>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</si>
  <si>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</si>
  <si>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</si>
  <si>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</si>
  <si>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</si>
  <si>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</si>
  <si>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</si>
  <si>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</si>
  <si>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</si>
  <si>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</si>
  <si>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</si>
  <si>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</si>
  <si>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</si>
  <si>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</si>
  <si>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</si>
  <si>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</si>
  <si>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</si>
  <si>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</si>
  <si>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</si>
  <si>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</si>
  <si>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</si>
  <si>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</si>
  <si>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</si>
  <si>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</si>
  <si>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</si>
  <si>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</si>
  <si>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</si>
  <si>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</si>
  <si>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</si>
  <si>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</si>
  <si>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</si>
  <si>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</si>
  <si>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</si>
  <si>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</si>
  <si>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</si>
  <si>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</si>
  <si>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</si>
  <si>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</si>
  <si>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</si>
  <si>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</si>
  <si>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</si>
  <si>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</si>
  <si>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</si>
  <si>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</si>
  <si>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</si>
  <si>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</si>
  <si>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</si>
  <si>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</si>
  <si>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</si>
  <si>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</si>
  <si>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</si>
  <si>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</si>
  <si>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</si>
  <si>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</si>
  <si>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</si>
  <si>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</si>
  <si>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</si>
  <si>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</si>
  <si>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</si>
  <si>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</si>
  <si>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</si>
  <si>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</si>
  <si>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</si>
  <si>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</si>
  <si>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</si>
  <si>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</si>
  <si>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</si>
  <si>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</si>
  <si>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</si>
  <si>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</si>
  <si>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</si>
  <si>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</si>
  <si>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</si>
  <si>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</si>
  <si>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</si>
  <si>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</si>
  <si>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</si>
  <si>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</si>
  <si>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</si>
  <si>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</si>
  <si>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</si>
  <si>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</si>
  <si>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</si>
  <si>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</si>
  <si>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</si>
  <si>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</si>
  <si>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</si>
  <si>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</si>
  <si>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</si>
  <si>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</si>
  <si>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</si>
  <si>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</si>
  <si>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</si>
  <si>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</si>
  <si>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</si>
  <si>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</si>
  <si>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</si>
  <si>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</si>
  <si>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</si>
  <si>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</si>
  <si>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</si>
  <si>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</si>
  <si>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</si>
  <si>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</si>
  <si>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</si>
  <si>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</si>
  <si>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</si>
  <si>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</si>
  <si>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</si>
  <si>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</si>
  <si>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</si>
  <si>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</si>
  <si>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</si>
  <si>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</si>
  <si>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</si>
  <si>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</si>
  <si>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</si>
  <si>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</si>
  <si>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</si>
  <si>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</si>
  <si>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</si>
  <si>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</si>
  <si>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</si>
  <si>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</si>
  <si>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</si>
  <si>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</si>
  <si>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</si>
  <si>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</si>
  <si>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</si>
  <si>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</si>
  <si>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</si>
  <si>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</si>
  <si>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</si>
  <si>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</si>
  <si>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</si>
  <si>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</si>
  <si>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</si>
  <si>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</si>
  <si>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</si>
  <si>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</si>
  <si>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</si>
  <si>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</si>
  <si>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</si>
  <si>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</si>
  <si>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</si>
  <si>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</si>
  <si>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</si>
  <si>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</si>
  <si>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</si>
  <si>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</si>
  <si>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</si>
  <si>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</si>
  <si>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</si>
  <si>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</si>
  <si>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</si>
  <si>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</si>
  <si>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</si>
  <si>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</si>
  <si>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</si>
  <si>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</si>
  <si>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</si>
  <si>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</si>
  <si>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</si>
  <si>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</si>
  <si>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</si>
  <si>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</si>
  <si>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</si>
  <si>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</si>
  <si>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</si>
  <si>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</si>
  <si>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</si>
  <si>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</si>
  <si>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</si>
  <si>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</si>
  <si>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</si>
  <si>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</si>
  <si>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</si>
  <si>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</si>
  <si>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</si>
  <si>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</si>
  <si>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</si>
  <si>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</si>
  <si>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</si>
  <si>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</si>
  <si>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</si>
  <si>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</si>
  <si>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</si>
  <si>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</si>
  <si>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</si>
  <si>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</si>
  <si>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</si>
  <si>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</si>
  <si>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</si>
  <si>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</si>
  <si>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</si>
  <si>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</si>
  <si>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</si>
  <si>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</si>
  <si>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</si>
  <si>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</si>
  <si>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</si>
  <si>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</si>
  <si>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</si>
  <si>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</si>
  <si>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</si>
  <si>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</si>
  <si>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</si>
  <si>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</si>
  <si>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</si>
  <si>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</si>
  <si>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</si>
  <si>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</si>
  <si>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</si>
  <si>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</si>
  <si>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</si>
  <si>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</si>
  <si>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</si>
  <si>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</si>
  <si>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</si>
  <si>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</si>
  <si>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</si>
  <si>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</si>
  <si>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</si>
  <si>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</si>
  <si>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</si>
  <si>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</si>
  <si>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</si>
  <si>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</si>
  <si>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</si>
  <si>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</si>
  <si>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</si>
  <si>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</si>
  <si>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</si>
  <si>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</si>
  <si>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</si>
  <si>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</si>
  <si>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</si>
  <si>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</si>
  <si>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</si>
  <si>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</si>
  <si>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</si>
  <si>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</si>
  <si>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</si>
  <si>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</si>
  <si>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</si>
  <si>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</si>
  <si>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</si>
  <si>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</si>
  <si>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</si>
  <si>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</si>
  <si>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</si>
  <si>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</si>
  <si>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</si>
  <si>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</si>
  <si>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</si>
  <si>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</si>
  <si>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</si>
  <si>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</si>
  <si>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</si>
  <si>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</si>
  <si>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</si>
  <si>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</si>
  <si>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</si>
  <si>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</si>
  <si>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</si>
  <si>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</si>
  <si>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</si>
  <si>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</si>
  <si>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</si>
  <si>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</si>
  <si>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</si>
  <si>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</si>
  <si>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</si>
  <si>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</si>
  <si>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</si>
  <si>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</si>
  <si>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</si>
  <si>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</si>
  <si>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</si>
  <si>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</si>
  <si>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</si>
  <si>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</si>
  <si>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</si>
  <si>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</si>
  <si>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</si>
  <si>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</si>
  <si>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</si>
  <si>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</si>
  <si>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</si>
  <si>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</si>
  <si>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</si>
  <si>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</si>
  <si>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</si>
  <si>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</si>
  <si>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</si>
  <si>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</si>
  <si>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</si>
  <si>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</si>
  <si>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</si>
  <si>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</si>
  <si>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</si>
  <si>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</si>
  <si>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</si>
  <si>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</si>
  <si>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</si>
  <si>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</si>
  <si>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</si>
  <si>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</si>
  <si>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</si>
  <si>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</si>
  <si>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</si>
  <si>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</si>
  <si>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</si>
  <si>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</si>
  <si>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</si>
  <si>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</si>
  <si>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</si>
  <si>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</si>
  <si>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</si>
  <si>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</si>
  <si>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</si>
  <si>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</si>
  <si>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</si>
  <si>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</si>
  <si>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</si>
  <si>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</si>
  <si>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</si>
  <si>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</si>
  <si>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</si>
  <si>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</si>
  <si>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</si>
  <si>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</si>
  <si>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</si>
  <si>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</si>
  <si>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</si>
  <si>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</si>
  <si>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</si>
  <si>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</si>
  <si>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</si>
  <si>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</si>
  <si>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</si>
  <si>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</si>
  <si>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</si>
  <si>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</si>
  <si>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</si>
  <si>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</si>
  <si>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</si>
  <si>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</si>
  <si>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</si>
  <si>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</si>
  <si>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</si>
  <si>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</si>
  <si>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</si>
  <si>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</si>
  <si>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</si>
  <si>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</si>
  <si>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</si>
  <si>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</si>
  <si>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</si>
  <si>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</si>
  <si>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</si>
  <si>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</si>
  <si>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</si>
  <si>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</si>
  <si>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</si>
  <si>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</si>
  <si>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</si>
  <si>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</si>
  <si>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</si>
  <si>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</si>
  <si>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</si>
  <si>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</si>
  <si>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</si>
  <si>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</si>
  <si>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</si>
  <si>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</si>
  <si>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</si>
  <si>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</si>
  <si>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</si>
  <si>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</si>
  <si>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</si>
  <si>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</si>
  <si>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</si>
  <si>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</si>
  <si>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</si>
  <si>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</si>
  <si>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</si>
  <si>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</si>
  <si>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</si>
  <si>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</si>
  <si>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</si>
  <si>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</si>
  <si>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</si>
  <si>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</si>
  <si>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</si>
  <si>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</si>
  <si>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</si>
  <si>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</si>
  <si>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</si>
  <si>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</si>
  <si>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</si>
  <si>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</si>
  <si>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</si>
  <si>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</si>
  <si>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</si>
  <si>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</si>
  <si>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</si>
  <si>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</si>
  <si>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</si>
  <si>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</si>
  <si>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</si>
  <si>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</si>
  <si>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</si>
  <si>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</si>
  <si>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</si>
  <si>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</si>
  <si>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</si>
  <si>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</si>
  <si>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</si>
  <si>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</si>
  <si>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</si>
  <si>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</si>
  <si>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</si>
  <si>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</si>
  <si>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</si>
  <si>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</si>
  <si>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</si>
  <si>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</si>
  <si>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</si>
  <si>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</si>
  <si>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</si>
  <si>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</si>
  <si>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</si>
  <si>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</si>
  <si>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</si>
  <si>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</si>
  <si>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</si>
  <si>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</si>
  <si>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</si>
  <si>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</si>
  <si>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</si>
  <si>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</si>
  <si>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</si>
  <si>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</si>
  <si>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</si>
  <si>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</si>
  <si>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</si>
  <si>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</si>
  <si>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</si>
  <si>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</si>
  <si>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</si>
  <si>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</si>
  <si>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</si>
  <si>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</si>
  <si>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</si>
  <si>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</si>
  <si>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</si>
  <si>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</si>
  <si>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</si>
  <si>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</si>
  <si>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</si>
  <si>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</si>
  <si>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</si>
  <si>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</si>
  <si>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</si>
  <si>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</si>
  <si>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</si>
  <si>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</si>
  <si>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</si>
  <si>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</si>
  <si>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</si>
  <si>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</si>
  <si>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</si>
  <si>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</si>
  <si>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</si>
  <si>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</si>
  <si>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</si>
  <si>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</si>
  <si>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</si>
  <si>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</si>
  <si>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</si>
  <si>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</si>
  <si>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</si>
  <si>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</si>
  <si>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</si>
  <si>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</si>
  <si>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</si>
  <si>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</si>
  <si>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</si>
  <si>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</si>
  <si>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</si>
  <si>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</si>
  <si>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</si>
  <si>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</si>
  <si>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</si>
  <si>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</si>
  <si>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</si>
  <si>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</si>
  <si>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</si>
  <si>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</si>
  <si>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</si>
  <si>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</si>
  <si>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</si>
  <si>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</si>
  <si>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</si>
  <si>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</si>
  <si>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</si>
  <si>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</si>
  <si>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</si>
  <si>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</si>
  <si>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</si>
  <si>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</si>
  <si>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</si>
  <si>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</si>
  <si>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</si>
  <si>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</si>
  <si>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</si>
  <si>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</si>
  <si>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</si>
  <si>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</si>
  <si>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</si>
  <si>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</si>
  <si>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</si>
  <si>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</si>
  <si>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</si>
  <si>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</si>
  <si>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</si>
  <si>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</si>
  <si>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</si>
  <si>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</si>
  <si>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</si>
  <si>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</si>
  <si>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</si>
  <si>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</si>
  <si>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</si>
  <si>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</si>
  <si>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</si>
  <si>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</si>
  <si>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</si>
  <si>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</si>
  <si>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</si>
  <si>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</si>
  <si>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</si>
  <si>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</si>
  <si>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</si>
  <si>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</si>
  <si>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</si>
  <si>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</si>
  <si>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</si>
  <si>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</si>
  <si>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</si>
  <si>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</si>
  <si>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</si>
  <si>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</si>
  <si>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</si>
  <si>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</si>
  <si>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</si>
  <si>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</si>
  <si>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</si>
  <si>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</si>
  <si>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</si>
  <si>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</si>
  <si>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</si>
  <si>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</si>
  <si>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</si>
  <si>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</si>
  <si>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</si>
  <si>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</si>
  <si>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</si>
  <si>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</si>
  <si>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</si>
  <si>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</si>
  <si>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</si>
  <si>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</si>
  <si>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</si>
  <si>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</si>
  <si>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</si>
  <si>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</si>
  <si>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</si>
  <si>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</si>
  <si>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</si>
  <si>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</si>
  <si>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</si>
  <si>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</si>
  <si>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</si>
  <si>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</si>
  <si>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</si>
  <si>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</si>
  <si>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</si>
  <si>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</si>
  <si>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</si>
  <si>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</si>
  <si>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</si>
  <si>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</si>
  <si>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</si>
  <si>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</si>
  <si>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</si>
  <si>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</si>
  <si>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</si>
  <si>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</si>
  <si>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</si>
  <si>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</si>
  <si>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</si>
  <si>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</si>
  <si>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</si>
  <si>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</si>
  <si>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</si>
  <si>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</si>
  <si>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</si>
  <si>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</si>
  <si>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</si>
  <si>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</si>
  <si>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</si>
  <si>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</si>
  <si>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</si>
  <si>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</si>
  <si>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</si>
  <si>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</si>
  <si>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</si>
  <si>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</si>
  <si>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</si>
  <si>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</si>
  <si>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</si>
  <si>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</si>
  <si>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</si>
  <si>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</si>
  <si>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</si>
  <si>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</si>
  <si>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</si>
  <si>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</si>
  <si>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</si>
  <si>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</si>
  <si>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</si>
  <si>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</si>
  <si>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</si>
  <si>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</si>
  <si>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</si>
  <si>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</si>
  <si>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</si>
  <si>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</si>
  <si>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</si>
  <si>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</si>
  <si>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</si>
  <si>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</si>
  <si>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</si>
  <si>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</si>
  <si>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</si>
  <si>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</si>
  <si>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</si>
  <si>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</si>
  <si>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</si>
  <si>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</si>
  <si>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</si>
  <si>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</si>
  <si>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</si>
  <si>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</si>
  <si>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</si>
  <si>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</si>
  <si>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</si>
  <si>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</si>
  <si>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</si>
  <si>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</si>
  <si>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</si>
  <si>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</si>
  <si>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</si>
  <si>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</si>
  <si>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</si>
  <si>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</si>
  <si>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</si>
  <si>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</si>
  <si>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</si>
  <si>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</si>
  <si>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</si>
  <si>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</si>
  <si>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</si>
  <si>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</si>
  <si>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</si>
  <si>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</si>
  <si>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</si>
  <si>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</si>
  <si>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</si>
  <si>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</si>
  <si>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</si>
  <si>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</si>
  <si>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</si>
  <si>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</si>
  <si>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</si>
  <si>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</si>
  <si>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</si>
  <si>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</si>
  <si>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</si>
  <si>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</si>
  <si>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</si>
  <si>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</si>
  <si>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</si>
  <si>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</si>
  <si>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</si>
  <si>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</si>
  <si>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</si>
  <si>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</si>
  <si>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</si>
  <si>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</si>
  <si>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</si>
  <si>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</si>
  <si>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</si>
  <si>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</si>
  <si>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</si>
  <si>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</si>
  <si>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</si>
  <si>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</si>
  <si>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</si>
  <si>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</si>
  <si>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</si>
  <si>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</si>
  <si>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</si>
  <si>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</si>
  <si>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</si>
  <si>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</si>
  <si>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</si>
  <si>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</si>
  <si>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</si>
  <si>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</si>
  <si>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</si>
  <si>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</si>
  <si>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</si>
  <si>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</si>
  <si>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</si>
  <si>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</si>
  <si>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</si>
  <si>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</si>
  <si>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</si>
  <si>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</si>
  <si>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</si>
  <si>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</si>
  <si>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</si>
  <si>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</si>
  <si>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</si>
  <si>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</si>
  <si>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</si>
  <si>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</si>
  <si>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</si>
  <si>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</si>
  <si>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</si>
  <si>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</si>
  <si>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</si>
  <si>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</si>
  <si>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</si>
  <si>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</si>
  <si>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</si>
  <si>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</si>
  <si>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</si>
  <si>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</si>
  <si>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</si>
  <si>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</si>
  <si>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</si>
  <si>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</si>
  <si>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</si>
  <si>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</si>
  <si>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</si>
  <si>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</si>
  <si>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</si>
  <si>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</si>
  <si>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</si>
  <si>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</si>
  <si>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</si>
  <si>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</si>
  <si>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</si>
  <si>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</si>
  <si>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</si>
  <si>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</si>
  <si>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</si>
  <si>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</si>
  <si>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</si>
  <si>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</si>
  <si>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</si>
  <si>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</si>
  <si>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</si>
  <si>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</si>
  <si>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</si>
  <si>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</si>
  <si>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</si>
  <si>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</si>
  <si>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</si>
  <si>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</si>
  <si>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</si>
  <si>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</si>
  <si>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</si>
  <si>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</si>
  <si>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</si>
  <si>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</si>
  <si>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</si>
  <si>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</si>
  <si>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</si>
  <si>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</si>
  <si>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</si>
  <si>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</si>
  <si>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</si>
  <si>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</si>
  <si>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</si>
  <si>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</si>
  <si>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</si>
  <si>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</si>
  <si>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</si>
  <si>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</si>
  <si>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</si>
  <si>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</si>
  <si>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</si>
  <si>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</si>
  <si>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</si>
  <si>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</si>
  <si>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</si>
  <si>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</si>
  <si>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</si>
  <si>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</si>
  <si>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</si>
  <si>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</si>
  <si>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</si>
  <si>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</si>
  <si>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</si>
  <si>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</si>
  <si>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</si>
  <si>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</si>
  <si>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</si>
  <si>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</si>
  <si>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</si>
  <si>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</si>
  <si>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</si>
  <si>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</si>
  <si>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</si>
  <si>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</si>
  <si>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</si>
  <si>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</si>
  <si>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</si>
  <si>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</si>
  <si>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</si>
  <si>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</si>
  <si>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</si>
  <si>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</si>
  <si>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</si>
  <si>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</si>
  <si>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</si>
  <si>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</si>
  <si>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</si>
  <si>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</si>
  <si>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</si>
  <si>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</si>
  <si>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</si>
  <si>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</si>
  <si>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</si>
  <si>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</si>
  <si>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</si>
  <si>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</si>
  <si>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</si>
  <si>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</si>
  <si>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</si>
  <si>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</si>
  <si>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</si>
  <si>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</si>
  <si>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</si>
  <si>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</si>
  <si>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</si>
  <si>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</si>
  <si>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</si>
  <si>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</si>
  <si>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</si>
  <si>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</si>
  <si>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</si>
  <si>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</si>
  <si>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</si>
  <si>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</si>
  <si>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</si>
  <si>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</si>
  <si>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</si>
  <si>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</si>
  <si>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</si>
  <si>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</si>
  <si>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</si>
  <si>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</si>
  <si>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</si>
  <si>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</si>
  <si>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</si>
  <si>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</si>
  <si>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</si>
  <si>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</si>
  <si>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</si>
  <si>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</si>
  <si>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</si>
  <si>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</si>
  <si>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</si>
  <si>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</si>
  <si>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</si>
  <si>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</si>
  <si>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</si>
  <si>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</si>
  <si>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</si>
  <si>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</si>
  <si>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</si>
  <si>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</si>
  <si>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</si>
  <si>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</si>
  <si>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</si>
  <si>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</si>
  <si>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</si>
  <si>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</si>
  <si>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</si>
  <si>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</si>
  <si>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</si>
  <si>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</si>
  <si>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</si>
  <si>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</si>
  <si>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</si>
  <si>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</si>
  <si>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</si>
  <si>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</si>
  <si>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</si>
  <si>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</si>
  <si>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</si>
  <si>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</si>
  <si>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</si>
  <si>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</si>
  <si>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</si>
  <si>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</si>
  <si>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</si>
  <si>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</si>
  <si>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</si>
  <si>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</si>
  <si>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</si>
  <si>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</si>
  <si>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</si>
  <si>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</si>
  <si>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</si>
  <si>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</si>
  <si>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</si>
  <si>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</si>
  <si>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</si>
  <si>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</si>
  <si>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</si>
  <si>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</si>
  <si>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</si>
  <si>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</si>
  <si>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</si>
  <si>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</si>
  <si>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</si>
  <si>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</si>
  <si>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</si>
  <si>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</si>
  <si>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</si>
  <si>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</si>
  <si>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</si>
  <si>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</si>
  <si>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</si>
  <si>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</si>
  <si>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</si>
  <si>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</si>
  <si>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</si>
  <si>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</si>
  <si>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</si>
  <si>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</si>
  <si>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</si>
  <si>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</si>
  <si>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</si>
  <si>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</si>
  <si>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</si>
  <si>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</si>
  <si>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</si>
  <si>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</si>
  <si>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</si>
  <si>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</si>
  <si>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</si>
  <si>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</si>
  <si>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</si>
  <si>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</si>
  <si>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</si>
  <si>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</si>
  <si>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</si>
  <si>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</si>
  <si>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</si>
  <si>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</si>
  <si>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</si>
  <si>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</si>
  <si>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</si>
  <si>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</si>
  <si>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</si>
  <si>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</si>
  <si>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</si>
  <si>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</si>
  <si>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</si>
  <si>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</si>
  <si>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</si>
  <si>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</si>
  <si>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</si>
  <si>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</si>
  <si>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</si>
  <si>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</si>
  <si>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</si>
  <si>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</si>
  <si>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</si>
  <si>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</si>
  <si>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</si>
  <si>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</si>
  <si>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</si>
  <si>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</si>
  <si>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</si>
  <si>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</si>
  <si>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</si>
  <si>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</si>
  <si>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</si>
  <si>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</si>
  <si>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</si>
  <si>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</si>
  <si>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</si>
  <si>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</si>
  <si>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</si>
  <si>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</si>
  <si>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</si>
  <si>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</si>
  <si>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</si>
  <si>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</si>
  <si>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</si>
  <si>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</si>
  <si>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</si>
  <si>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</si>
  <si>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</si>
  <si>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</si>
  <si>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</si>
  <si>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</si>
  <si>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</si>
  <si>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</si>
  <si>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</si>
  <si>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</si>
  <si>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</si>
  <si>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</si>
  <si>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</si>
  <si>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</si>
  <si>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</si>
  <si>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</si>
  <si>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</si>
  <si>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</si>
  <si>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</si>
  <si>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</si>
  <si>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</si>
  <si>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</si>
  <si>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</si>
  <si>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</si>
  <si>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</si>
  <si>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</si>
  <si>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</si>
  <si>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</si>
  <si>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</si>
  <si>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</si>
  <si>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</si>
  <si>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</si>
  <si>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</si>
  <si>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</si>
  <si>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</si>
  <si>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</si>
  <si>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</si>
  <si>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</si>
  <si>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</si>
  <si>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</si>
  <si>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Column1</t>
  </si>
  <si>
    <t>Row Labels</t>
  </si>
  <si>
    <t>Grand Total</t>
  </si>
  <si>
    <t>Column Labels</t>
  </si>
  <si>
    <t>Sum of TotalPrice</t>
  </si>
  <si>
    <t>Count of OrderID</t>
  </si>
  <si>
    <t>(blank)</t>
  </si>
  <si>
    <t>Sum of Quantity</t>
  </si>
  <si>
    <t>Jan</t>
  </si>
  <si>
    <t>Feb</t>
  </si>
  <si>
    <t>Mar</t>
  </si>
  <si>
    <t>Apr</t>
  </si>
  <si>
    <t>May</t>
  </si>
  <si>
    <t>Jun</t>
  </si>
  <si>
    <t>Jul</t>
  </si>
  <si>
    <t>Aug</t>
  </si>
  <si>
    <t>Sep</t>
  </si>
  <si>
    <t>Nov</t>
  </si>
  <si>
    <t>Dec</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</si>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</sst>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49" fontId="0" fillId="0" borderId="0" xfId="0" applyNumberFormat="1"/>
    <xf numFmtId="14" fontId="0" fillId="0" borderId="0" xfId="0" applyNumberFormat="1"/>
    <xf numFmtId="11" fontId="0" fillId="0" borderId="0" xfId="0" applyNumberFormat="1"/>
    <xf numFmtId="2" fontId="0" fillId="0" borderId="0" xfId="0" applyNumberFormat="1"/>
    <xf numFmtId="1" fontId="0" fillId="0" borderId="0" xfId="0" applyNumberFormat="1"/>
    <xf numFmtId="49"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1"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 fontId="1" fillId="0" borderId="1" xfId="0" applyNumberFormat="1" applyFont="1" applyBorder="1" applyAlignment="1">
      <alignment horizontal="center" vertical="top"/>
    </xf>
    <xf numFmtId="0" fontId="0" fillId="2" borderId="0" xfId="0" applyFill="1"/>
    <xf numFmtId="1" fontId="0" fillId="2" borderId="0" xfId="0" applyNumberFormat="1" applyFill="1"/>
    <xf numFmtId="2" fontId="0" fillId="2" borderId="0" xfId="0" applyNumberFormat="1" applyFill="1"/>
    <xf numFmtId="10" fontId="0" fillId="2" borderId="0" xfId="0" applyNumberFormat="1" applyFill="1"/>
  </cellXfs>
  <cellStyles count="1">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 formatCode="0.00"/>
    </dxf>
    <dxf>
      <numFmt numFmtId="1" formatCode="0"/>
    </dxf>
    <dxf>
      <numFmt numFmtId="30" formatCode="@"/>
    </dxf>
    <dxf>
      <numFmt numFmtId="15" formatCode="0.00E+00"/>
    </dxf>
    <dxf>
      <numFmt numFmtId="19" formatCode="m/d/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[excel_sales_analysis_project.xlsx]coupoun!PivotTable5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coupon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8579097534473491"/>
          <c:y val="0.42363948256467943"/>
          <c:w val="0.27847929575461244"/>
          <c:h val="0.52079246344206975"/>
        </c:manualLayout>
      </c:layout>
      <c:doughnutChart>
        <c:varyColors val="1"/>
        <c:ser>
          <c:idx val="0"/>
          <c:order val="0"/>
          <c:tx>
            <c:strRef>
              <c:f>coupoun!$B$3</c:f>
              <c:strCache>
                <c:ptCount val="1"/>
                <c:pt idx="0">
                  <c:v>Sum of TotalPrice</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2DB-4B83-8251-2E69791BF169}"/>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7AC-4ACD-B365-1C37B766C62C}"/>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DB-4B83-8251-2E69791BF169}"/>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2DB-4B83-8251-2E69791BF169}"/>
              </c:ext>
            </c:extLst>
          </c:dPt>
          <c:cat>
            <c:strRef>
              <c:f>coupoun!$A$4:$A$8</c:f>
              <c:strCache>
                <c:ptCount val="4"/>
                <c:pt idx="0">
                  <c:v>FREESHIP</c:v>
                </c:pt>
                <c:pt idx="1">
                  <c:v>SAVE10</c:v>
                </c:pt>
                <c:pt idx="2">
                  <c:v>WINTER15</c:v>
                </c:pt>
                <c:pt idx="3">
                  <c:v>(blank)</c:v>
                </c:pt>
              </c:strCache>
            </c:strRef>
          </c:cat>
          <c:val>
            <c:numRef>
              <c:f>coupoun!$B$4:$B$8</c:f>
              <c:numCache>
                <c:formatCode>0</c:formatCode>
                <c:ptCount val="4"/>
                <c:pt idx="0">
                  <c:v>335036.99000000028</c:v>
                </c:pt>
                <c:pt idx="1">
                  <c:v>304840.02</c:v>
                </c:pt>
                <c:pt idx="2">
                  <c:v>302483.54000000021</c:v>
                </c:pt>
                <c:pt idx="3">
                  <c:v>322401.40999999992</c:v>
                </c:pt>
              </c:numCache>
            </c:numRef>
          </c:val>
          <c:extLst>
            <c:ext xmlns:c16="http://schemas.microsoft.com/office/drawing/2014/chart" uri="{C3380CC4-5D6E-409C-BE32-E72D297353CC}">
              <c16:uniqueId val="{00000000-67AC-4ACD-B365-1C37B766C62C}"/>
            </c:ext>
          </c:extLst>
        </c:ser>
        <c:ser>
          <c:idx val="1"/>
          <c:order val="1"/>
          <c:tx>
            <c:strRef>
              <c:f>coupoun!$C$3</c:f>
              <c:strCache>
                <c:ptCount val="1"/>
                <c:pt idx="0">
                  <c:v>Sum of Quantity</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2DB-4B83-8251-2E69791BF169}"/>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7AC-4ACD-B365-1C37B766C62C}"/>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62DB-4B83-8251-2E69791BF169}"/>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62DB-4B83-8251-2E69791BF169}"/>
              </c:ext>
            </c:extLst>
          </c:dPt>
          <c:cat>
            <c:strRef>
              <c:f>coupoun!$A$4:$A$8</c:f>
              <c:strCache>
                <c:ptCount val="4"/>
                <c:pt idx="0">
                  <c:v>FREESHIP</c:v>
                </c:pt>
                <c:pt idx="1">
                  <c:v>SAVE10</c:v>
                </c:pt>
                <c:pt idx="2">
                  <c:v>WINTER15</c:v>
                </c:pt>
                <c:pt idx="3">
                  <c:v>(blank)</c:v>
                </c:pt>
              </c:strCache>
            </c:strRef>
          </c:cat>
          <c:val>
            <c:numRef>
              <c:f>coupoun!$C$4:$C$8</c:f>
              <c:numCache>
                <c:formatCode>0</c:formatCode>
                <c:ptCount val="4"/>
                <c:pt idx="0">
                  <c:v>914</c:v>
                </c:pt>
                <c:pt idx="1">
                  <c:v>844</c:v>
                </c:pt>
                <c:pt idx="2">
                  <c:v>836</c:v>
                </c:pt>
                <c:pt idx="3">
                  <c:v>941</c:v>
                </c:pt>
              </c:numCache>
            </c:numRef>
          </c:val>
          <c:extLst>
            <c:ext xmlns:c16="http://schemas.microsoft.com/office/drawing/2014/chart" uri="{C3380CC4-5D6E-409C-BE32-E72D297353CC}">
              <c16:uniqueId val="{00000001-67AC-4ACD-B365-1C37B766C62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[excel_sales_analysis_project.xlsx]Sheet8!PivotTable11</c:name>
    <c:fmtId val="2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Sheet8!$B$1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Sheet8!$A$2:$A$7</c:f>
              <c:strCache>
                <c:ptCount val="5"/>
                <c:pt idx="0">
                  <c:v>Email</c:v>
                </c:pt>
                <c:pt idx="1">
                  <c:v>Facebook</c:v>
                </c:pt>
                <c:pt idx="2">
                  <c:v>Google</c:v>
                </c:pt>
                <c:pt idx="3">
                  <c:v>Instagram</c:v>
                </c:pt>
                <c:pt idx="4">
                  <c:v>Referral</c:v>
                </c:pt>
              </c:strCache>
            </c:strRef>
          </c:cat>
          <c:val>
            <c:numRef>
              <c:f>Sheet8!$B$2:$B$7</c:f>
              <c:numCache>
                <c:formatCode>0</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6229-465D-AC77-943D9EAEA87E}"/>
            </c:ext>
          </c:extLst>
        </c:ser>
        <c:dLbls>
          <c:showLegendKey val="0"/>
          <c:showVal val="0"/>
          <c:showCatName val="0"/>
          <c:showSerName val="0"/>
          <c:showPercent val="0"/>
          <c:showBubbleSize val="0"/>
        </c:dLbls>
        <c:gapWidth val="150"/>
        <c:shape val="box"/>
        <c:axId val="310072144"/>
        <c:axId val="310072624"/>
        <c:axId val="0"/>
      </c:bar3DChart>
      <c:catAx>
        <c:axId val="310072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0072624"/>
        <c:crosses val="autoZero"/>
        <c:auto val="1"/>
        <c:lblAlgn val="ctr"/>
        <c:lblOffset val="100"/>
        <c:noMultiLvlLbl val="0"/>
      </c:catAx>
      <c:valAx>
        <c:axId val="310072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007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659724584191838E-2"/>
          <c:y val="5.0658396247887788E-2"/>
          <c:w val="0.85219685039370074"/>
          <c:h val="0.8416746864975212"/>
        </c:manualLayout>
      </c:layout>
      <c:barChart>
        <c:barDir val="col"/>
        <c:grouping val="clustered"/>
        <c:varyColors val="0"/>
        <c:ser>
          <c:idx val="0"/>
          <c:order val="0"/>
          <c:tx>
            <c:strRef>
              <c:f>Sheet10!$F$5</c:f>
              <c:strCache>
                <c:ptCount val="1"/>
                <c:pt idx="0">
                  <c:v>Sum of TotalPrice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Sheet10!$E$6:$E$17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Sheet10!$F$6:$F$17</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B3B6-49AC-B573-9AFC05864FCC}"/>
            </c:ext>
          </c:extLst>
        </c:ser>
        <c:dLbls>
          <c:showLegendKey val="0"/>
          <c:showVal val="0"/>
          <c:showCatName val="0"/>
          <c:showSerName val="0"/>
          <c:showPercent val="0"/>
          <c:showBubbleSize val="0"/>
        </c:dLbls>
        <c:gapWidth val="100"/>
        <c:overlap val="-24"/>
        <c:axId val="1509265503"/>
        <c:axId val="1509274623"/>
      </c:barChart>
      <c:catAx>
        <c:axId val="150926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74623"/>
        <c:crosses val="autoZero"/>
        <c:auto val="1"/>
        <c:lblAlgn val="ctr"/>
        <c:lblOffset val="100"/>
        <c:noMultiLvlLbl val="0"/>
      </c:catAx>
      <c:valAx>
        <c:axId val="150927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655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[excel_sales_analysis_project.xlsx]Sheet6!PivotTable6</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Cash</c:v>
                </c:pt>
              </c:strCache>
            </c:strRef>
          </c:tx>
          <c:spPr>
            <a:solidFill>
              <a:schemeClr val="accent1"/>
            </a:solidFill>
            <a:ln>
              <a:noFill/>
            </a:ln>
            <a:effectLst/>
          </c:spPr>
          <c:invertIfNegative val="0"/>
          <c:cat>
            <c:strRef>
              <c:f>Sheet6!$A$5:$A$12</c:f>
              <c:strCache>
                <c:ptCount val="7"/>
                <c:pt idx="0">
                  <c:v>Chair</c:v>
                </c:pt>
                <c:pt idx="1">
                  <c:v>Desk</c:v>
                </c:pt>
                <c:pt idx="2">
                  <c:v>Laptop</c:v>
                </c:pt>
                <c:pt idx="3">
                  <c:v>Monitor</c:v>
                </c:pt>
                <c:pt idx="4">
                  <c:v>Phone</c:v>
                </c:pt>
                <c:pt idx="5">
                  <c:v>Printer</c:v>
                </c:pt>
                <c:pt idx="6">
                  <c:v>Tablet</c:v>
                </c:pt>
              </c:strCache>
            </c:strRef>
          </c:cat>
          <c:val>
            <c:numRef>
              <c:f>Sheet6!$B$5:$B$12</c:f>
              <c:numCache>
                <c:formatCode>0</c:formatCode>
                <c:ptCount val="7"/>
                <c:pt idx="0">
                  <c:v>35902.590000000004</c:v>
                </c:pt>
                <c:pt idx="1">
                  <c:v>31644.969999999994</c:v>
                </c:pt>
                <c:pt idx="2">
                  <c:v>48676.4</c:v>
                </c:pt>
                <c:pt idx="3">
                  <c:v>32847.01</c:v>
                </c:pt>
                <c:pt idx="4">
                  <c:v>25997.289999999997</c:v>
                </c:pt>
                <c:pt idx="5">
                  <c:v>46940.27</c:v>
                </c:pt>
                <c:pt idx="6">
                  <c:v>37777.760000000002</c:v>
                </c:pt>
              </c:numCache>
            </c:numRef>
          </c:val>
          <c:extLst>
            <c:ext xmlns:c16="http://schemas.microsoft.com/office/drawing/2014/chart" uri="{C3380CC4-5D6E-409C-BE32-E72D297353CC}">
              <c16:uniqueId val="{00000000-49BE-4187-8422-577FBEA71033}"/>
            </c:ext>
          </c:extLst>
        </c:ser>
        <c:ser>
          <c:idx val="1"/>
          <c:order val="1"/>
          <c:tx>
            <c:strRef>
              <c:f>Sheet6!$C$3:$C$4</c:f>
              <c:strCache>
                <c:ptCount val="1"/>
                <c:pt idx="0">
                  <c:v>Credit Card</c:v>
                </c:pt>
              </c:strCache>
            </c:strRef>
          </c:tx>
          <c:spPr>
            <a:solidFill>
              <a:schemeClr val="accent2"/>
            </a:solidFill>
            <a:ln>
              <a:noFill/>
            </a:ln>
            <a:effectLst/>
          </c:spPr>
          <c:invertIfNegative val="0"/>
          <c:cat>
            <c:strRef>
              <c:f>Sheet6!$A$5:$A$12</c:f>
              <c:strCache>
                <c:ptCount val="7"/>
                <c:pt idx="0">
                  <c:v>Chair</c:v>
                </c:pt>
                <c:pt idx="1">
                  <c:v>Desk</c:v>
                </c:pt>
                <c:pt idx="2">
                  <c:v>Laptop</c:v>
                </c:pt>
                <c:pt idx="3">
                  <c:v>Monitor</c:v>
                </c:pt>
                <c:pt idx="4">
                  <c:v>Phone</c:v>
                </c:pt>
                <c:pt idx="5">
                  <c:v>Printer</c:v>
                </c:pt>
                <c:pt idx="6">
                  <c:v>Tablet</c:v>
                </c:pt>
              </c:strCache>
            </c:strRef>
          </c:cat>
          <c:val>
            <c:numRef>
              <c:f>Sheet6!$C$5:$C$12</c:f>
              <c:numCache>
                <c:formatCode>0</c:formatCode>
                <c:ptCount val="7"/>
                <c:pt idx="0">
                  <c:v>35405.049999999996</c:v>
                </c:pt>
                <c:pt idx="1">
                  <c:v>37473.979999999996</c:v>
                </c:pt>
                <c:pt idx="2">
                  <c:v>35308.120000000003</c:v>
                </c:pt>
                <c:pt idx="3">
                  <c:v>42473.640000000007</c:v>
                </c:pt>
                <c:pt idx="4">
                  <c:v>32317.43</c:v>
                </c:pt>
                <c:pt idx="5">
                  <c:v>43289.52</c:v>
                </c:pt>
                <c:pt idx="6">
                  <c:v>37579.89</c:v>
                </c:pt>
              </c:numCache>
            </c:numRef>
          </c:val>
          <c:extLst>
            <c:ext xmlns:c16="http://schemas.microsoft.com/office/drawing/2014/chart" uri="{C3380CC4-5D6E-409C-BE32-E72D297353CC}">
              <c16:uniqueId val="{00000005-774F-455F-86C2-4C9016F22B9D}"/>
            </c:ext>
          </c:extLst>
        </c:ser>
        <c:ser>
          <c:idx val="2"/>
          <c:order val="2"/>
          <c:tx>
            <c:strRef>
              <c:f>Sheet6!$D$3:$D$4</c:f>
              <c:strCache>
                <c:ptCount val="1"/>
                <c:pt idx="0">
                  <c:v>Debit Card</c:v>
                </c:pt>
              </c:strCache>
            </c:strRef>
          </c:tx>
          <c:spPr>
            <a:solidFill>
              <a:schemeClr val="accent3"/>
            </a:solidFill>
            <a:ln>
              <a:noFill/>
            </a:ln>
            <a:effectLst/>
          </c:spPr>
          <c:invertIfNegative val="0"/>
          <c:cat>
            <c:strRef>
              <c:f>Sheet6!$A$5:$A$12</c:f>
              <c:strCache>
                <c:ptCount val="7"/>
                <c:pt idx="0">
                  <c:v>Chair</c:v>
                </c:pt>
                <c:pt idx="1">
                  <c:v>Desk</c:v>
                </c:pt>
                <c:pt idx="2">
                  <c:v>Laptop</c:v>
                </c:pt>
                <c:pt idx="3">
                  <c:v>Monitor</c:v>
                </c:pt>
                <c:pt idx="4">
                  <c:v>Phone</c:v>
                </c:pt>
                <c:pt idx="5">
                  <c:v>Printer</c:v>
                </c:pt>
                <c:pt idx="6">
                  <c:v>Tablet</c:v>
                </c:pt>
              </c:strCache>
            </c:strRef>
          </c:cat>
          <c:val>
            <c:numRef>
              <c:f>Sheet6!$D$5:$D$12</c:f>
              <c:numCache>
                <c:formatCode>0</c:formatCode>
                <c:ptCount val="7"/>
                <c:pt idx="0">
                  <c:v>31906.21</c:v>
                </c:pt>
                <c:pt idx="1">
                  <c:v>29316.480000000007</c:v>
                </c:pt>
                <c:pt idx="2">
                  <c:v>35713.680000000008</c:v>
                </c:pt>
                <c:pt idx="3">
                  <c:v>31790.109999999993</c:v>
                </c:pt>
                <c:pt idx="4">
                  <c:v>31731.750000000004</c:v>
                </c:pt>
                <c:pt idx="5">
                  <c:v>33165.089999999997</c:v>
                </c:pt>
                <c:pt idx="6">
                  <c:v>38737.860000000008</c:v>
                </c:pt>
              </c:numCache>
            </c:numRef>
          </c:val>
          <c:extLst>
            <c:ext xmlns:c16="http://schemas.microsoft.com/office/drawing/2014/chart" uri="{C3380CC4-5D6E-409C-BE32-E72D297353CC}">
              <c16:uniqueId val="{00000009-774F-455F-86C2-4C9016F22B9D}"/>
            </c:ext>
          </c:extLst>
        </c:ser>
        <c:ser>
          <c:idx val="3"/>
          <c:order val="3"/>
          <c:tx>
            <c:strRef>
              <c:f>Sheet6!$E$3:$E$4</c:f>
              <c:strCache>
                <c:ptCount val="1"/>
                <c:pt idx="0">
                  <c:v>Gift Card</c:v>
                </c:pt>
              </c:strCache>
            </c:strRef>
          </c:tx>
          <c:spPr>
            <a:solidFill>
              <a:schemeClr val="accent4"/>
            </a:solidFill>
            <a:ln>
              <a:noFill/>
            </a:ln>
            <a:effectLst/>
          </c:spPr>
          <c:invertIfNegative val="0"/>
          <c:cat>
            <c:strRef>
              <c:f>Sheet6!$A$5:$A$12</c:f>
              <c:strCache>
                <c:ptCount val="7"/>
                <c:pt idx="0">
                  <c:v>Chair</c:v>
                </c:pt>
                <c:pt idx="1">
                  <c:v>Desk</c:v>
                </c:pt>
                <c:pt idx="2">
                  <c:v>Laptop</c:v>
                </c:pt>
                <c:pt idx="3">
                  <c:v>Monitor</c:v>
                </c:pt>
                <c:pt idx="4">
                  <c:v>Phone</c:v>
                </c:pt>
                <c:pt idx="5">
                  <c:v>Printer</c:v>
                </c:pt>
                <c:pt idx="6">
                  <c:v>Tablet</c:v>
                </c:pt>
              </c:strCache>
            </c:strRef>
          </c:cat>
          <c:val>
            <c:numRef>
              <c:f>Sheet6!$E$5:$E$12</c:f>
              <c:numCache>
                <c:formatCode>0</c:formatCode>
                <c:ptCount val="7"/>
                <c:pt idx="0">
                  <c:v>38064.350000000006</c:v>
                </c:pt>
                <c:pt idx="1">
                  <c:v>39498.39</c:v>
                </c:pt>
                <c:pt idx="2">
                  <c:v>42057.389999999992</c:v>
                </c:pt>
                <c:pt idx="3">
                  <c:v>33301.19</c:v>
                </c:pt>
                <c:pt idx="4">
                  <c:v>31525.7</c:v>
                </c:pt>
                <c:pt idx="5">
                  <c:v>32679.230000000003</c:v>
                </c:pt>
                <c:pt idx="6">
                  <c:v>29197.670000000002</c:v>
                </c:pt>
              </c:numCache>
            </c:numRef>
          </c:val>
          <c:extLst>
            <c:ext xmlns:c16="http://schemas.microsoft.com/office/drawing/2014/chart" uri="{C3380CC4-5D6E-409C-BE32-E72D297353CC}">
              <c16:uniqueId val="{0000000A-774F-455F-86C2-4C9016F22B9D}"/>
            </c:ext>
          </c:extLst>
        </c:ser>
        <c:ser>
          <c:idx val="4"/>
          <c:order val="4"/>
          <c:tx>
            <c:strRef>
              <c:f>Sheet6!$F$3:$F$4</c:f>
              <c:strCache>
                <c:ptCount val="1"/>
                <c:pt idx="0">
                  <c:v>Online</c:v>
                </c:pt>
              </c:strCache>
            </c:strRef>
          </c:tx>
          <c:spPr>
            <a:solidFill>
              <a:schemeClr val="accent5"/>
            </a:solidFill>
            <a:ln>
              <a:noFill/>
            </a:ln>
            <a:effectLst/>
          </c:spPr>
          <c:invertIfNegative val="0"/>
          <c:cat>
            <c:strRef>
              <c:f>Sheet6!$A$5:$A$12</c:f>
              <c:strCache>
                <c:ptCount val="7"/>
                <c:pt idx="0">
                  <c:v>Chair</c:v>
                </c:pt>
                <c:pt idx="1">
                  <c:v>Desk</c:v>
                </c:pt>
                <c:pt idx="2">
                  <c:v>Laptop</c:v>
                </c:pt>
                <c:pt idx="3">
                  <c:v>Monitor</c:v>
                </c:pt>
                <c:pt idx="4">
                  <c:v>Phone</c:v>
                </c:pt>
                <c:pt idx="5">
                  <c:v>Printer</c:v>
                </c:pt>
                <c:pt idx="6">
                  <c:v>Tablet</c:v>
                </c:pt>
              </c:strCache>
            </c:strRef>
          </c:cat>
          <c:val>
            <c:numRef>
              <c:f>Sheet6!$F$5:$F$12</c:f>
              <c:numCache>
                <c:formatCode>0</c:formatCode>
                <c:ptCount val="7"/>
                <c:pt idx="0">
                  <c:v>54341.909999999996</c:v>
                </c:pt>
                <c:pt idx="1">
                  <c:v>29526.110000000011</c:v>
                </c:pt>
                <c:pt idx="2">
                  <c:v>30370.96999999999</c:v>
                </c:pt>
                <c:pt idx="3">
                  <c:v>35239.459999999992</c:v>
                </c:pt>
                <c:pt idx="4">
                  <c:v>30150.220000000008</c:v>
                </c:pt>
                <c:pt idx="5">
                  <c:v>39538.5</c:v>
                </c:pt>
                <c:pt idx="6">
                  <c:v>43275.76999999999</c:v>
                </c:pt>
              </c:numCache>
            </c:numRef>
          </c:val>
          <c:extLst>
            <c:ext xmlns:c16="http://schemas.microsoft.com/office/drawing/2014/chart" uri="{C3380CC4-5D6E-409C-BE32-E72D297353CC}">
              <c16:uniqueId val="{0000000B-774F-455F-86C2-4C9016F22B9D}"/>
            </c:ext>
          </c:extLst>
        </c:ser>
        <c:dLbls>
          <c:showLegendKey val="0"/>
          <c:showVal val="0"/>
          <c:showCatName val="0"/>
          <c:showSerName val="0"/>
          <c:showPercent val="0"/>
          <c:showBubbleSize val="0"/>
        </c:dLbls>
        <c:gapWidth val="150"/>
        <c:axId val="352357024"/>
        <c:axId val="352343104"/>
      </c:barChart>
      <c:catAx>
        <c:axId val="35235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43104"/>
        <c:crosses val="autoZero"/>
        <c:auto val="1"/>
        <c:lblAlgn val="ctr"/>
        <c:lblOffset val="100"/>
        <c:noMultiLvlLbl val="0"/>
      </c:catAx>
      <c:valAx>
        <c:axId val="352343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5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62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Sheet10!$F$5</c:f>
              <c:strCache>
                <c:ptCount val="1"/>
                <c:pt idx="0">
                  <c:v>Sum of TotalPrice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Sheet10!$E$6:$E$17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Sheet10!$F$6:$F$17</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7559-4F19-A978-95778467D40A}"/>
            </c:ext>
          </c:extLst>
        </c:ser>
        <c:dLbls>
          <c:showLegendKey val="0"/>
          <c:showVal val="0"/>
          <c:showCatName val="0"/>
          <c:showSerName val="0"/>
          <c:showPercent val="0"/>
          <c:showBubbleSize val="0"/>
        </c:dLbls>
        <c:gapWidth val="355"/>
        <c:overlap val="-70"/>
        <c:axId val="1509265503"/>
        <c:axId val="1509274623"/>
      </c:barChart>
      <c:catAx>
        <c:axId val="15092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74623"/>
        <c:crosses val="autoZero"/>
        <c:auto val="1"/>
        <c:lblAlgn val="ctr"/>
        <c:lblOffset val="100"/>
        <c:noMultiLvlLbl val="0"/>
      </c:catAx>
      <c:valAx>
        <c:axId val="150927462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65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plotArea>
      <cx:plotAreaRegion>
        <cx:series layoutId="treemap" uniqueId="{F1C78C77-173C-4D03-A666-BA5462A39BA5}" formatIdx="0">
          <cx:tx>
            <cx:txData>
              <cx:f>_xlchart.v1.1</cx:f>
              <cx:v>Column Labels Chair</cx:v>
            </cx:txData>
          </cx:tx>
          <cx:dataLabels>
            <cx:visibility seriesName="0" categoryName="1" value="0"/>
          </cx:dataLabels>
          <cx:dataId val="0"/>
          <cx:layoutPr>
            <cx:parentLabelLayout val="overlapping"/>
          </cx:layoutPr>
        </cx:series>
        <cx:series layoutId="treemap" hidden="1" uniqueId="{E7D0A62C-02D2-4E86-B749-52FE690B871A}" formatIdx="1">
          <cx:tx>
            <cx:txData>
              <cx:f>_xlchart.v1.3</cx:f>
              <cx:v>0 Desk</cx:v>
            </cx:txData>
          </cx:tx>
          <cx:dataLabels>
            <cx:visibility seriesName="0" categoryName="1" value="0"/>
          </cx:dataLabels>
          <cx:dataId val="1"/>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plotArea>
      <cx:plotAreaRegion>
        <cx:series layoutId="treemap" uniqueId="{FD09FA68-A897-4029-B725-7C28333613A4}" formatIdx="0">
          <cx:tx>
            <cx:txData>
              <cx:f>_xlchart.v1.6</cx:f>
              <cx:v>Column Labels Chair</cx:v>
            </cx:txData>
          </cx:tx>
          <cx:dataLabels pos="inEnd">
            <cx:visibility seriesName="0" categoryName="1" value="0"/>
          </cx:dataLabels>
          <cx:dataId val="0"/>
          <cx:layoutPr>
            <cx:parentLabelLayout val="overlapping"/>
          </cx:layoutPr>
        </cx:series>
        <cx:series layoutId="treemap" hidden="1" uniqueId="{BB40E725-581D-4171-827E-441A04179F22}" formatIdx="1">
          <cx:tx>
            <cx:txData>
              <cx:f>_xlchart.v1.8</cx:f>
              <cx:v>0 Desk</cx:v>
            </cx:txData>
          </cx:tx>
          <cx:dataLabels pos="inEnd">
            <cx:visibility seriesName="0" categoryName="1" value="0"/>
          </cx:dataLabels>
          <cx:dataId val="1"/>
          <cx:layoutPr>
            <cx:parentLabelLayout val="overlapping"/>
          </cx:layoutPr>
        </cx:series>
      </cx:plotAreaRegion>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data id="1">
      <cx:strDim type="cat">
        <cx:f>_xlchart.v1.10</cx:f>
      </cx:strDim>
      <cx:numDim type="size">
        <cx:f>_xlchart.v1.14</cx:f>
      </cx:numDim>
    </cx:data>
  </cx:chartData>
  <cx:chart>
    <cx:plotArea>
      <cx:plotAreaRegion>
        <cx:series layoutId="treemap" uniqueId="{F1C78C77-173C-4D03-A666-BA5462A39BA5}" formatIdx="0">
          <cx:tx>
            <cx:txData>
              <cx:f>_xlchart.v1.11</cx:f>
              <cx:v>Column Labels Chair</cx:v>
            </cx:txData>
          </cx:tx>
          <cx:dataLabels>
            <cx:visibility seriesName="0" categoryName="1" value="0"/>
          </cx:dataLabels>
          <cx:dataId val="0"/>
          <cx:layoutPr>
            <cx:parentLabelLayout val="overlapping"/>
          </cx:layoutPr>
        </cx:series>
        <cx:series layoutId="treemap" hidden="1" uniqueId="{E7D0A62C-02D2-4E86-B749-52FE690B871A}" formatIdx="1">
          <cx:tx>
            <cx:txData>
              <cx:f>_xlchart.v1.13</cx:f>
              <cx:v>0 Desk</cx:v>
            </cx:txData>
          </cx:tx>
          <cx:dataLabels>
            <cx:visibility seriesName="0" categoryName="1" value="0"/>
          </cx:dataLabels>
          <cx:dataId val="1"/>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3.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microsoft.com/office/2014/relationships/chartEx" Target="../charts/chartEx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1.xml"/><Relationship Id="rId28" Type="http://schemas.microsoft.com/office/2014/relationships/chartEx" Target="../charts/chartEx2.xml"/><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480060</xdr:colOff>
      <xdr:row>1</xdr:row>
      <xdr:rowOff>99060</xdr:rowOff>
    </xdr:from>
    <xdr:to>
      <xdr:col>12</xdr:col>
      <xdr:colOff>548640</xdr:colOff>
      <xdr:row>5</xdr:row>
      <xdr:rowOff>30480</xdr:rowOff>
    </xdr:to>
    <xdr:sp macro="" textlink="">
      <xdr:nvSpPr>
        <xdr:cNvPr id="3" name="Rectangle: Rounded Corners 2">
          <a:extLst>
            <a:ext uri="{FF2B5EF4-FFF2-40B4-BE49-F238E27FC236}">
              <a16:creationId xmlns:a16="http://schemas.microsoft.com/office/drawing/2014/main" id="{396F55C4-16B5-F589-8BAA-314E3CBF9C2C}"/>
            </a:ext>
          </a:extLst>
        </xdr:cNvPr>
        <xdr:cNvSpPr/>
      </xdr:nvSpPr>
      <xdr:spPr>
        <a:xfrm>
          <a:off x="4251960" y="281940"/>
          <a:ext cx="3726180" cy="6629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100" b="1" cap="none" spc="0">
              <a:ln w="0"/>
              <a:solidFill>
                <a:schemeClr val="tx1"/>
              </a:solidFill>
              <a:effectLst>
                <a:outerShdw blurRad="38100" dist="19050" dir="2700000" algn="tl" rotWithShape="0">
                  <a:schemeClr val="dk1">
                    <a:alpha val="40000"/>
                  </a:schemeClr>
                </a:outerShdw>
              </a:effectLst>
              <a:latin typeface="Aptos Slab Black" panose="020F0502020204030204" pitchFamily="34" charset="0"/>
              <a:ea typeface="ADLaM Display" panose="02010000000000000000" pitchFamily="2" charset="0"/>
              <a:cs typeface="ADLaM Display" panose="02010000000000000000" pitchFamily="2" charset="0"/>
            </a:rPr>
            <a:t>TOTAL</a:t>
          </a:r>
          <a:r>
            <a:rPr lang="en-US" sz="1100" b="1" cap="none" spc="0" baseline="0">
              <a:ln w="0"/>
              <a:solidFill>
                <a:schemeClr val="tx1"/>
              </a:solidFill>
              <a:effectLst>
                <a:outerShdw blurRad="38100" dist="19050" dir="2700000" algn="tl" rotWithShape="0">
                  <a:schemeClr val="dk1">
                    <a:alpha val="40000"/>
                  </a:schemeClr>
                </a:outerShdw>
              </a:effectLst>
              <a:latin typeface="Aptos Slab Black" panose="020F0502020204030204" pitchFamily="34" charset="0"/>
              <a:ea typeface="ADLaM Display" panose="02010000000000000000" pitchFamily="2" charset="0"/>
              <a:cs typeface="ADLaM Display" panose="02010000000000000000" pitchFamily="2" charset="0"/>
            </a:rPr>
            <a:t> REVENUE</a:t>
          </a:r>
        </a:p>
        <a:p>
          <a:pPr algn="ctr"/>
          <a:endParaRPr lang="en-US" sz="1100" b="1" cap="none" spc="0" baseline="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oneCellAnchor>
    <xdr:from>
      <xdr:col>9</xdr:col>
      <xdr:colOff>7620</xdr:colOff>
      <xdr:row>2</xdr:row>
      <xdr:rowOff>160020</xdr:rowOff>
    </xdr:from>
    <xdr:ext cx="1325880" cy="342786"/>
    <xdr:sp macro="" textlink="D15">
      <xdr:nvSpPr>
        <xdr:cNvPr id="4" name="TextBox 3">
          <a:extLst>
            <a:ext uri="{FF2B5EF4-FFF2-40B4-BE49-F238E27FC236}">
              <a16:creationId xmlns:a16="http://schemas.microsoft.com/office/drawing/2014/main" id="{62A3B498-9140-5369-B7E9-A50ED28D865F}"/>
            </a:ext>
          </a:extLst>
        </xdr:cNvPr>
        <xdr:cNvSpPr txBox="1"/>
      </xdr:nvSpPr>
      <xdr:spPr>
        <a:xfrm>
          <a:off x="5608320" y="525780"/>
          <a:ext cx="13258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D783DA1-8B74-4727-87B0-061A2813529D}" type="TxLink">
            <a:rPr lang="en-US" sz="1600" b="0" i="0" u="none" strike="noStrike">
              <a:solidFill>
                <a:schemeClr val="tx1"/>
              </a:solidFill>
              <a:latin typeface="Calibri"/>
              <a:ea typeface="Calibri"/>
              <a:cs typeface="Calibri"/>
            </a:rPr>
            <a:pPr/>
            <a:t> </a:t>
          </a:fld>
          <a:endParaRPr lang="en-US" sz="1600">
            <a:solidFill>
              <a:schemeClr val="tx1"/>
            </a:solidFill>
          </a:endParaRPr>
        </a:p>
      </xdr:txBody>
    </xdr:sp>
    <xdr:clientData/>
  </xdr:oneCellAnchor>
  <xdr:twoCellAnchor editAs="oneCell">
    <xdr:from>
      <xdr:col>7</xdr:col>
      <xdr:colOff>175260</xdr:colOff>
      <xdr:row>1</xdr:row>
      <xdr:rowOff>83820</xdr:rowOff>
    </xdr:from>
    <xdr:to>
      <xdr:col>8</xdr:col>
      <xdr:colOff>114300</xdr:colOff>
      <xdr:row>4</xdr:row>
      <xdr:rowOff>83820</xdr:rowOff>
    </xdr:to>
    <xdr:pic>
      <xdr:nvPicPr>
        <xdr:cNvPr id="6" name="Graphic 5" descr="Money with solid fill">
          <a:extLst>
            <a:ext uri="{FF2B5EF4-FFF2-40B4-BE49-F238E27FC236}">
              <a16:creationId xmlns:a16="http://schemas.microsoft.com/office/drawing/2014/main" id="{68436FDB-E6AD-5AE5-8EED-AAA94ED2B6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56760" y="266700"/>
          <a:ext cx="548640" cy="548640"/>
        </a:xfrm>
        <a:prstGeom prst="rect">
          <a:avLst/>
        </a:prstGeom>
      </xdr:spPr>
    </xdr:pic>
    <xdr:clientData/>
  </xdr:twoCellAnchor>
  <xdr:twoCellAnchor>
    <xdr:from>
      <xdr:col>0</xdr:col>
      <xdr:colOff>106680</xdr:colOff>
      <xdr:row>1</xdr:row>
      <xdr:rowOff>68580</xdr:rowOff>
    </xdr:from>
    <xdr:to>
      <xdr:col>6</xdr:col>
      <xdr:colOff>335280</xdr:colOff>
      <xdr:row>5</xdr:row>
      <xdr:rowOff>38100</xdr:rowOff>
    </xdr:to>
    <xdr:sp macro="" textlink="">
      <xdr:nvSpPr>
        <xdr:cNvPr id="7" name="Rectangle: Rounded Corners 6">
          <a:extLst>
            <a:ext uri="{FF2B5EF4-FFF2-40B4-BE49-F238E27FC236}">
              <a16:creationId xmlns:a16="http://schemas.microsoft.com/office/drawing/2014/main" id="{180CA160-D54D-C614-A8A2-7EF769A16545}"/>
            </a:ext>
          </a:extLst>
        </xdr:cNvPr>
        <xdr:cNvSpPr/>
      </xdr:nvSpPr>
      <xdr:spPr>
        <a:xfrm>
          <a:off x="106680" y="251460"/>
          <a:ext cx="4000500" cy="70104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251460</xdr:colOff>
      <xdr:row>1</xdr:row>
      <xdr:rowOff>160020</xdr:rowOff>
    </xdr:from>
    <xdr:to>
      <xdr:col>4</xdr:col>
      <xdr:colOff>434340</xdr:colOff>
      <xdr:row>3</xdr:row>
      <xdr:rowOff>68580</xdr:rowOff>
    </xdr:to>
    <xdr:sp macro="" textlink="">
      <xdr:nvSpPr>
        <xdr:cNvPr id="8" name="TextBox 7">
          <a:extLst>
            <a:ext uri="{FF2B5EF4-FFF2-40B4-BE49-F238E27FC236}">
              <a16:creationId xmlns:a16="http://schemas.microsoft.com/office/drawing/2014/main" id="{3BC422A4-96F2-D981-8A8C-227FA61ECF3A}"/>
            </a:ext>
          </a:extLst>
        </xdr:cNvPr>
        <xdr:cNvSpPr txBox="1"/>
      </xdr:nvSpPr>
      <xdr:spPr>
        <a:xfrm>
          <a:off x="1470660" y="342900"/>
          <a:ext cx="1516380" cy="27432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ptos Slab Black" panose="020B0004020202020204" pitchFamily="34" charset="0"/>
            </a:rPr>
            <a:t>TOTAL</a:t>
          </a:r>
          <a:r>
            <a:rPr lang="en-US" sz="1100" b="1" baseline="0">
              <a:latin typeface="Aptos Slab Black" panose="020B0004020202020204" pitchFamily="34" charset="0"/>
            </a:rPr>
            <a:t> ORDERS</a:t>
          </a:r>
          <a:endParaRPr lang="en-US" sz="1100" b="1">
            <a:latin typeface="Aptos Slab Black" panose="020B0004020202020204" pitchFamily="34" charset="0"/>
          </a:endParaRPr>
        </a:p>
      </xdr:txBody>
    </xdr:sp>
    <xdr:clientData/>
  </xdr:twoCellAnchor>
  <xdr:twoCellAnchor>
    <xdr:from>
      <xdr:col>3</xdr:col>
      <xdr:colOff>91440</xdr:colOff>
      <xdr:row>2</xdr:row>
      <xdr:rowOff>167640</xdr:rowOff>
    </xdr:from>
    <xdr:to>
      <xdr:col>4</xdr:col>
      <xdr:colOff>220980</xdr:colOff>
      <xdr:row>4</xdr:row>
      <xdr:rowOff>114300</xdr:rowOff>
    </xdr:to>
    <xdr:sp macro="" textlink="G46">
      <xdr:nvSpPr>
        <xdr:cNvPr id="9" name="TextBox 8">
          <a:extLst>
            <a:ext uri="{FF2B5EF4-FFF2-40B4-BE49-F238E27FC236}">
              <a16:creationId xmlns:a16="http://schemas.microsoft.com/office/drawing/2014/main" id="{01359483-D1B9-7449-8D71-AB35103C404C}"/>
            </a:ext>
          </a:extLst>
        </xdr:cNvPr>
        <xdr:cNvSpPr txBox="1"/>
      </xdr:nvSpPr>
      <xdr:spPr>
        <a:xfrm>
          <a:off x="1920240" y="533400"/>
          <a:ext cx="853440" cy="312420"/>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3213F-EE1A-4078-AEE8-BCF51F9A2123}" type="TxLink">
            <a:rPr lang="en-US" sz="1600" b="0" i="0" u="none" strike="noStrike">
              <a:solidFill>
                <a:srgbClr val="000000"/>
              </a:solidFill>
              <a:latin typeface="Calibri"/>
              <a:ea typeface="Calibri"/>
              <a:cs typeface="Calibri"/>
            </a:rPr>
            <a:pPr/>
            <a:t>1200</a:t>
          </a:fld>
          <a:endParaRPr lang="en-US" sz="1600"/>
        </a:p>
      </xdr:txBody>
    </xdr:sp>
    <xdr:clientData/>
  </xdr:twoCellAnchor>
  <xdr:twoCellAnchor editAs="oneCell">
    <xdr:from>
      <xdr:col>0</xdr:col>
      <xdr:colOff>281940</xdr:colOff>
      <xdr:row>2</xdr:row>
      <xdr:rowOff>0</xdr:rowOff>
    </xdr:from>
    <xdr:to>
      <xdr:col>1</xdr:col>
      <xdr:colOff>167640</xdr:colOff>
      <xdr:row>4</xdr:row>
      <xdr:rowOff>129540</xdr:rowOff>
    </xdr:to>
    <xdr:pic>
      <xdr:nvPicPr>
        <xdr:cNvPr id="11" name="Graphic 10" descr="Box with solid fill">
          <a:extLst>
            <a:ext uri="{FF2B5EF4-FFF2-40B4-BE49-F238E27FC236}">
              <a16:creationId xmlns:a16="http://schemas.microsoft.com/office/drawing/2014/main" id="{438464FD-5991-8301-373E-F5982ACB7C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365760"/>
          <a:ext cx="495300" cy="495300"/>
        </a:xfrm>
        <a:prstGeom prst="rect">
          <a:avLst/>
        </a:prstGeom>
      </xdr:spPr>
    </xdr:pic>
    <xdr:clientData/>
  </xdr:twoCellAnchor>
  <xdr:twoCellAnchor>
    <xdr:from>
      <xdr:col>13</xdr:col>
      <xdr:colOff>83820</xdr:colOff>
      <xdr:row>1</xdr:row>
      <xdr:rowOff>76200</xdr:rowOff>
    </xdr:from>
    <xdr:to>
      <xdr:col>18</xdr:col>
      <xdr:colOff>533400</xdr:colOff>
      <xdr:row>5</xdr:row>
      <xdr:rowOff>15240</xdr:rowOff>
    </xdr:to>
    <xdr:sp macro="" textlink="">
      <xdr:nvSpPr>
        <xdr:cNvPr id="13" name="Rectangle: Rounded Corners 12">
          <a:extLst>
            <a:ext uri="{FF2B5EF4-FFF2-40B4-BE49-F238E27FC236}">
              <a16:creationId xmlns:a16="http://schemas.microsoft.com/office/drawing/2014/main" id="{1F1F965F-C102-A01B-5CA5-79E429F3B12C}"/>
            </a:ext>
          </a:extLst>
        </xdr:cNvPr>
        <xdr:cNvSpPr/>
      </xdr:nvSpPr>
      <xdr:spPr>
        <a:xfrm>
          <a:off x="8122920" y="259080"/>
          <a:ext cx="3497580" cy="67056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400" b="1">
              <a:latin typeface="Aptos Slab Black" panose="020B0004020202020204" pitchFamily="34" charset="0"/>
            </a:rPr>
            <a:t>AVG</a:t>
          </a:r>
          <a:r>
            <a:rPr lang="en-US" sz="1400" b="1" baseline="0">
              <a:latin typeface="Aptos Slab Black" panose="020B0004020202020204" pitchFamily="34" charset="0"/>
            </a:rPr>
            <a:t> ORDER VALUE</a:t>
          </a:r>
          <a:endParaRPr lang="en-US" sz="1400" b="1">
            <a:latin typeface="Aptos Slab Black" panose="020B0004020202020204" pitchFamily="34" charset="0"/>
          </a:endParaRPr>
        </a:p>
      </xdr:txBody>
    </xdr:sp>
    <xdr:clientData/>
  </xdr:twoCellAnchor>
  <xdr:twoCellAnchor>
    <xdr:from>
      <xdr:col>15</xdr:col>
      <xdr:colOff>144780</xdr:colOff>
      <xdr:row>3</xdr:row>
      <xdr:rowOff>0</xdr:rowOff>
    </xdr:from>
    <xdr:to>
      <xdr:col>17</xdr:col>
      <xdr:colOff>182880</xdr:colOff>
      <xdr:row>4</xdr:row>
      <xdr:rowOff>76200</xdr:rowOff>
    </xdr:to>
    <xdr:sp macro="" textlink="K58">
      <xdr:nvSpPr>
        <xdr:cNvPr id="14" name="TextBox 13">
          <a:extLst>
            <a:ext uri="{FF2B5EF4-FFF2-40B4-BE49-F238E27FC236}">
              <a16:creationId xmlns:a16="http://schemas.microsoft.com/office/drawing/2014/main" id="{15E91446-3F16-9287-4D16-96257D28AA63}"/>
            </a:ext>
          </a:extLst>
        </xdr:cNvPr>
        <xdr:cNvSpPr txBox="1"/>
      </xdr:nvSpPr>
      <xdr:spPr>
        <a:xfrm>
          <a:off x="9403080" y="548640"/>
          <a:ext cx="1257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7C320-2599-45B9-A8D5-EAB8EE3587B8}" type="TxLink">
            <a:rPr lang="en-US" sz="1400" b="1" i="0" u="none" strike="noStrike">
              <a:solidFill>
                <a:srgbClr val="000000"/>
              </a:solidFill>
              <a:latin typeface="Calibri"/>
              <a:ea typeface="Calibri"/>
              <a:cs typeface="Calibri"/>
            </a:rPr>
            <a:pPr/>
            <a:t>1053.97</a:t>
          </a:fld>
          <a:endParaRPr lang="en-US" sz="1400" b="1"/>
        </a:p>
      </xdr:txBody>
    </xdr:sp>
    <xdr:clientData/>
  </xdr:twoCellAnchor>
  <xdr:twoCellAnchor>
    <xdr:from>
      <xdr:col>19</xdr:col>
      <xdr:colOff>91440</xdr:colOff>
      <xdr:row>1</xdr:row>
      <xdr:rowOff>91440</xdr:rowOff>
    </xdr:from>
    <xdr:to>
      <xdr:col>23</xdr:col>
      <xdr:colOff>373380</xdr:colOff>
      <xdr:row>5</xdr:row>
      <xdr:rowOff>53340</xdr:rowOff>
    </xdr:to>
    <xdr:sp macro="" textlink="">
      <xdr:nvSpPr>
        <xdr:cNvPr id="15" name="Rectangle: Rounded Corners 14">
          <a:extLst>
            <a:ext uri="{FF2B5EF4-FFF2-40B4-BE49-F238E27FC236}">
              <a16:creationId xmlns:a16="http://schemas.microsoft.com/office/drawing/2014/main" id="{0D0E5578-AEB5-492D-8771-C6CCC25A3411}"/>
            </a:ext>
          </a:extLst>
        </xdr:cNvPr>
        <xdr:cNvSpPr/>
      </xdr:nvSpPr>
      <xdr:spPr>
        <a:xfrm>
          <a:off x="11788140" y="274320"/>
          <a:ext cx="2720340" cy="69342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100" b="1" cap="none" spc="0" baseline="0">
              <a:ln w="0"/>
              <a:solidFill>
                <a:schemeClr val="tx1"/>
              </a:solidFill>
              <a:effectLst>
                <a:outerShdw blurRad="38100" dist="19050" dir="2700000" algn="tl" rotWithShape="0">
                  <a:schemeClr val="dk1">
                    <a:alpha val="40000"/>
                  </a:schemeClr>
                </a:outerShdw>
              </a:effectLst>
              <a:latin typeface="Aptos Slab Black" panose="020F0502020204030204" pitchFamily="34" charset="0"/>
              <a:ea typeface="ADLaM Display" panose="02010000000000000000" pitchFamily="2" charset="0"/>
              <a:cs typeface="ADLaM Display" panose="02010000000000000000" pitchFamily="2" charset="0"/>
            </a:rPr>
            <a:t> DELIVERED ORDERS</a:t>
          </a:r>
        </a:p>
        <a:p>
          <a:pPr algn="ctr"/>
          <a:endParaRPr lang="en-US" sz="1400" b="1" cap="none" spc="0" baseline="0">
            <a:ln w="0"/>
            <a:solidFill>
              <a:schemeClr val="tx1"/>
            </a:solidFill>
            <a:effectLst>
              <a:outerShdw blurRad="38100" dist="19050" dir="2700000" algn="tl" rotWithShape="0">
                <a:schemeClr val="dk1">
                  <a:alpha val="40000"/>
                </a:schemeClr>
              </a:outerShdw>
            </a:effectLst>
            <a:latin typeface="Aptos Slab Black" panose="020F0502020204030204" pitchFamily="34" charset="0"/>
            <a:ea typeface="ADLaM Display" panose="02010000000000000000" pitchFamily="2" charset="0"/>
            <a:cs typeface="ADLaM Display" panose="02010000000000000000" pitchFamily="2" charset="0"/>
          </a:endParaRPr>
        </a:p>
        <a:p>
          <a:pPr algn="ctr"/>
          <a:endParaRPr lang="en-US" sz="1100" b="1" cap="none" spc="0" baseline="0">
            <a:ln w="0"/>
            <a:solidFill>
              <a:schemeClr val="tx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20</xdr:col>
      <xdr:colOff>358140</xdr:colOff>
      <xdr:row>3</xdr:row>
      <xdr:rowOff>7620</xdr:rowOff>
    </xdr:from>
    <xdr:to>
      <xdr:col>23</xdr:col>
      <xdr:colOff>22860</xdr:colOff>
      <xdr:row>4</xdr:row>
      <xdr:rowOff>121920</xdr:rowOff>
    </xdr:to>
    <xdr:sp macro="" textlink="J47">
      <xdr:nvSpPr>
        <xdr:cNvPr id="17" name="TextBox 16">
          <a:extLst>
            <a:ext uri="{FF2B5EF4-FFF2-40B4-BE49-F238E27FC236}">
              <a16:creationId xmlns:a16="http://schemas.microsoft.com/office/drawing/2014/main" id="{E05C84AB-4F0F-15E5-0AFA-59D64D30B98F}"/>
            </a:ext>
          </a:extLst>
        </xdr:cNvPr>
        <xdr:cNvSpPr txBox="1"/>
      </xdr:nvSpPr>
      <xdr:spPr>
        <a:xfrm>
          <a:off x="12664440" y="55626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BFDDAE-2A6D-4216-A13A-13DCCDD6E74D}" type="TxLink">
            <a:rPr lang="en-US" sz="1400" b="1" i="0" u="none" strike="noStrike">
              <a:solidFill>
                <a:srgbClr val="000000"/>
              </a:solidFill>
              <a:latin typeface="+mn-lt"/>
              <a:ea typeface="Calibri"/>
              <a:cs typeface="Calibri"/>
            </a:rPr>
            <a:pPr/>
            <a:t>19.25%</a:t>
          </a:fld>
          <a:endParaRPr lang="en-US" sz="1400" b="1">
            <a:latin typeface="+mn-lt"/>
          </a:endParaRPr>
        </a:p>
      </xdr:txBody>
    </xdr:sp>
    <xdr:clientData/>
  </xdr:twoCellAnchor>
  <xdr:twoCellAnchor editAs="oneCell">
    <xdr:from>
      <xdr:col>13</xdr:col>
      <xdr:colOff>182880</xdr:colOff>
      <xdr:row>1</xdr:row>
      <xdr:rowOff>167640</xdr:rowOff>
    </xdr:from>
    <xdr:to>
      <xdr:col>14</xdr:col>
      <xdr:colOff>68580</xdr:colOff>
      <xdr:row>4</xdr:row>
      <xdr:rowOff>114300</xdr:rowOff>
    </xdr:to>
    <xdr:pic>
      <xdr:nvPicPr>
        <xdr:cNvPr id="19" name="Graphic 18" descr="Box trolley outline">
          <a:extLst>
            <a:ext uri="{FF2B5EF4-FFF2-40B4-BE49-F238E27FC236}">
              <a16:creationId xmlns:a16="http://schemas.microsoft.com/office/drawing/2014/main" id="{AD68B7C9-E54B-3C4B-0FF2-74EA1030A3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221980" y="350520"/>
          <a:ext cx="495300" cy="495300"/>
        </a:xfrm>
        <a:prstGeom prst="rect">
          <a:avLst/>
        </a:prstGeom>
      </xdr:spPr>
    </xdr:pic>
    <xdr:clientData/>
  </xdr:twoCellAnchor>
  <xdr:twoCellAnchor editAs="oneCell">
    <xdr:from>
      <xdr:col>19</xdr:col>
      <xdr:colOff>144780</xdr:colOff>
      <xdr:row>1</xdr:row>
      <xdr:rowOff>152400</xdr:rowOff>
    </xdr:from>
    <xdr:to>
      <xdr:col>20</xdr:col>
      <xdr:colOff>106680</xdr:colOff>
      <xdr:row>4</xdr:row>
      <xdr:rowOff>175260</xdr:rowOff>
    </xdr:to>
    <xdr:pic>
      <xdr:nvPicPr>
        <xdr:cNvPr id="21" name="Graphic 20" descr="Good Inventory with solid fill">
          <a:extLst>
            <a:ext uri="{FF2B5EF4-FFF2-40B4-BE49-F238E27FC236}">
              <a16:creationId xmlns:a16="http://schemas.microsoft.com/office/drawing/2014/main" id="{3875C336-47E1-22A8-FD48-7E95EDDE451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41480" y="335280"/>
          <a:ext cx="571500" cy="571500"/>
        </a:xfrm>
        <a:prstGeom prst="rect">
          <a:avLst/>
        </a:prstGeom>
      </xdr:spPr>
    </xdr:pic>
    <xdr:clientData/>
  </xdr:twoCellAnchor>
  <xdr:twoCellAnchor>
    <xdr:from>
      <xdr:col>8</xdr:col>
      <xdr:colOff>571500</xdr:colOff>
      <xdr:row>2</xdr:row>
      <xdr:rowOff>167640</xdr:rowOff>
    </xdr:from>
    <xdr:to>
      <xdr:col>11</xdr:col>
      <xdr:colOff>30480</xdr:colOff>
      <xdr:row>4</xdr:row>
      <xdr:rowOff>137160</xdr:rowOff>
    </xdr:to>
    <xdr:sp macro="" textlink="P64">
      <xdr:nvSpPr>
        <xdr:cNvPr id="22" name="TextBox 21">
          <a:extLst>
            <a:ext uri="{FF2B5EF4-FFF2-40B4-BE49-F238E27FC236}">
              <a16:creationId xmlns:a16="http://schemas.microsoft.com/office/drawing/2014/main" id="{B806818C-CD2F-7B92-DF32-6E0EAD104348}"/>
            </a:ext>
          </a:extLst>
        </xdr:cNvPr>
        <xdr:cNvSpPr txBox="1"/>
      </xdr:nvSpPr>
      <xdr:spPr>
        <a:xfrm>
          <a:off x="5562600" y="533400"/>
          <a:ext cx="1287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C8BD11-37E0-4D87-9AF5-6194705C24EA}" type="TxLink">
            <a:rPr lang="en-US" sz="1400" b="1" i="0" u="none" strike="noStrike">
              <a:solidFill>
                <a:srgbClr val="000000"/>
              </a:solidFill>
              <a:latin typeface="Calibri"/>
              <a:ea typeface="Calibri"/>
              <a:cs typeface="Calibri"/>
            </a:rPr>
            <a:pPr/>
            <a:t>1264762</a:t>
          </a:fld>
          <a:endParaRPr lang="en-US" sz="1400" b="1"/>
        </a:p>
      </xdr:txBody>
    </xdr:sp>
    <xdr:clientData/>
  </xdr:twoCellAnchor>
  <xdr:twoCellAnchor>
    <xdr:from>
      <xdr:col>0</xdr:col>
      <xdr:colOff>114300</xdr:colOff>
      <xdr:row>5</xdr:row>
      <xdr:rowOff>167640</xdr:rowOff>
    </xdr:from>
    <xdr:to>
      <xdr:col>3</xdr:col>
      <xdr:colOff>76200</xdr:colOff>
      <xdr:row>32</xdr:row>
      <xdr:rowOff>68580</xdr:rowOff>
    </xdr:to>
    <xdr:sp macro="" textlink="">
      <xdr:nvSpPr>
        <xdr:cNvPr id="23" name="Rectangle: Rounded Corners 22">
          <a:extLst>
            <a:ext uri="{FF2B5EF4-FFF2-40B4-BE49-F238E27FC236}">
              <a16:creationId xmlns:a16="http://schemas.microsoft.com/office/drawing/2014/main" id="{F195A703-B86C-00EF-1599-42AB0E95294B}"/>
            </a:ext>
          </a:extLst>
        </xdr:cNvPr>
        <xdr:cNvSpPr/>
      </xdr:nvSpPr>
      <xdr:spPr>
        <a:xfrm>
          <a:off x="114300" y="1082040"/>
          <a:ext cx="1790700" cy="4838700"/>
        </a:xfrm>
        <a:prstGeom prst="roundRect">
          <a:avLst>
            <a:gd name="adj" fmla="val 330"/>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182880</xdr:colOff>
      <xdr:row>6</xdr:row>
      <xdr:rowOff>160020</xdr:rowOff>
    </xdr:from>
    <xdr:to>
      <xdr:col>1</xdr:col>
      <xdr:colOff>38100</xdr:colOff>
      <xdr:row>9</xdr:row>
      <xdr:rowOff>76200</xdr:rowOff>
    </xdr:to>
    <xdr:pic>
      <xdr:nvPicPr>
        <xdr:cNvPr id="29" name="Graphic 28" descr="Director's Chair with solid fill">
          <a:extLst>
            <a:ext uri="{FF2B5EF4-FFF2-40B4-BE49-F238E27FC236}">
              <a16:creationId xmlns:a16="http://schemas.microsoft.com/office/drawing/2014/main" id="{08722B43-573B-9B9A-50CC-4EDA6A8F0BC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2880" y="1257300"/>
          <a:ext cx="464820" cy="464820"/>
        </a:xfrm>
        <a:prstGeom prst="rect">
          <a:avLst/>
        </a:prstGeom>
      </xdr:spPr>
    </xdr:pic>
    <xdr:clientData/>
  </xdr:twoCellAnchor>
  <xdr:twoCellAnchor editAs="oneCell">
    <xdr:from>
      <xdr:col>0</xdr:col>
      <xdr:colOff>152400</xdr:colOff>
      <xdr:row>9</xdr:row>
      <xdr:rowOff>144780</xdr:rowOff>
    </xdr:from>
    <xdr:to>
      <xdr:col>1</xdr:col>
      <xdr:colOff>106680</xdr:colOff>
      <xdr:row>12</xdr:row>
      <xdr:rowOff>160020</xdr:rowOff>
    </xdr:to>
    <xdr:pic>
      <xdr:nvPicPr>
        <xdr:cNvPr id="31" name="Graphic 30" descr="Desk with solid fill">
          <a:extLst>
            <a:ext uri="{FF2B5EF4-FFF2-40B4-BE49-F238E27FC236}">
              <a16:creationId xmlns:a16="http://schemas.microsoft.com/office/drawing/2014/main" id="{16E27D13-C187-0978-E84D-1E9820699EB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2400" y="1790700"/>
          <a:ext cx="563880" cy="563880"/>
        </a:xfrm>
        <a:prstGeom prst="rect">
          <a:avLst/>
        </a:prstGeom>
      </xdr:spPr>
    </xdr:pic>
    <xdr:clientData/>
  </xdr:twoCellAnchor>
  <xdr:twoCellAnchor editAs="oneCell">
    <xdr:from>
      <xdr:col>0</xdr:col>
      <xdr:colOff>167640</xdr:colOff>
      <xdr:row>21</xdr:row>
      <xdr:rowOff>0</xdr:rowOff>
    </xdr:from>
    <xdr:to>
      <xdr:col>1</xdr:col>
      <xdr:colOff>160020</xdr:colOff>
      <xdr:row>24</xdr:row>
      <xdr:rowOff>53340</xdr:rowOff>
    </xdr:to>
    <xdr:pic>
      <xdr:nvPicPr>
        <xdr:cNvPr id="33" name="Graphic 32" descr="Laptop with solid fill">
          <a:extLst>
            <a:ext uri="{FF2B5EF4-FFF2-40B4-BE49-F238E27FC236}">
              <a16:creationId xmlns:a16="http://schemas.microsoft.com/office/drawing/2014/main" id="{0ED7FB61-972B-5907-8DAE-B913E30606F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7640" y="3840480"/>
          <a:ext cx="601980" cy="601980"/>
        </a:xfrm>
        <a:prstGeom prst="rect">
          <a:avLst/>
        </a:prstGeom>
      </xdr:spPr>
    </xdr:pic>
    <xdr:clientData/>
  </xdr:twoCellAnchor>
  <xdr:twoCellAnchor editAs="oneCell">
    <xdr:from>
      <xdr:col>0</xdr:col>
      <xdr:colOff>243840</xdr:colOff>
      <xdr:row>28</xdr:row>
      <xdr:rowOff>152400</xdr:rowOff>
    </xdr:from>
    <xdr:to>
      <xdr:col>1</xdr:col>
      <xdr:colOff>182880</xdr:colOff>
      <xdr:row>31</xdr:row>
      <xdr:rowOff>152400</xdr:rowOff>
    </xdr:to>
    <xdr:pic>
      <xdr:nvPicPr>
        <xdr:cNvPr id="35" name="Graphic 34" descr="Television with solid fill">
          <a:extLst>
            <a:ext uri="{FF2B5EF4-FFF2-40B4-BE49-F238E27FC236}">
              <a16:creationId xmlns:a16="http://schemas.microsoft.com/office/drawing/2014/main" id="{3D4A2EAA-C55D-3282-D799-22687801329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3840" y="5273040"/>
          <a:ext cx="548640" cy="548640"/>
        </a:xfrm>
        <a:prstGeom prst="rect">
          <a:avLst/>
        </a:prstGeom>
      </xdr:spPr>
    </xdr:pic>
    <xdr:clientData/>
  </xdr:twoCellAnchor>
  <xdr:twoCellAnchor editAs="oneCell">
    <xdr:from>
      <xdr:col>0</xdr:col>
      <xdr:colOff>137160</xdr:colOff>
      <xdr:row>17</xdr:row>
      <xdr:rowOff>15240</xdr:rowOff>
    </xdr:from>
    <xdr:to>
      <xdr:col>1</xdr:col>
      <xdr:colOff>99060</xdr:colOff>
      <xdr:row>20</xdr:row>
      <xdr:rowOff>38100</xdr:rowOff>
    </xdr:to>
    <xdr:pic>
      <xdr:nvPicPr>
        <xdr:cNvPr id="37" name="Graphic 36" descr="Smart Phone with solid fill">
          <a:extLst>
            <a:ext uri="{FF2B5EF4-FFF2-40B4-BE49-F238E27FC236}">
              <a16:creationId xmlns:a16="http://schemas.microsoft.com/office/drawing/2014/main" id="{72D9A604-FE6A-29B9-2DD7-232E893D1EB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7160" y="3124200"/>
          <a:ext cx="571500" cy="571500"/>
        </a:xfrm>
        <a:prstGeom prst="rect">
          <a:avLst/>
        </a:prstGeom>
      </xdr:spPr>
    </xdr:pic>
    <xdr:clientData/>
  </xdr:twoCellAnchor>
  <xdr:twoCellAnchor editAs="oneCell">
    <xdr:from>
      <xdr:col>0</xdr:col>
      <xdr:colOff>205740</xdr:colOff>
      <xdr:row>24</xdr:row>
      <xdr:rowOff>137160</xdr:rowOff>
    </xdr:from>
    <xdr:to>
      <xdr:col>1</xdr:col>
      <xdr:colOff>167640</xdr:colOff>
      <xdr:row>27</xdr:row>
      <xdr:rowOff>160020</xdr:rowOff>
    </xdr:to>
    <xdr:pic>
      <xdr:nvPicPr>
        <xdr:cNvPr id="39" name="Graphic 38" descr="Printer with solid fill">
          <a:extLst>
            <a:ext uri="{FF2B5EF4-FFF2-40B4-BE49-F238E27FC236}">
              <a16:creationId xmlns:a16="http://schemas.microsoft.com/office/drawing/2014/main" id="{7997E5E3-A8A7-7253-865A-DA70E9EC4EA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05740" y="4526280"/>
          <a:ext cx="571500" cy="571500"/>
        </a:xfrm>
        <a:prstGeom prst="rect">
          <a:avLst/>
        </a:prstGeom>
      </xdr:spPr>
    </xdr:pic>
    <xdr:clientData/>
  </xdr:twoCellAnchor>
  <xdr:twoCellAnchor editAs="oneCell">
    <xdr:from>
      <xdr:col>0</xdr:col>
      <xdr:colOff>160020</xdr:colOff>
      <xdr:row>13</xdr:row>
      <xdr:rowOff>7620</xdr:rowOff>
    </xdr:from>
    <xdr:to>
      <xdr:col>1</xdr:col>
      <xdr:colOff>129540</xdr:colOff>
      <xdr:row>16</xdr:row>
      <xdr:rowOff>38100</xdr:rowOff>
    </xdr:to>
    <xdr:pic>
      <xdr:nvPicPr>
        <xdr:cNvPr id="41" name="Graphic 40" descr="Tablet with solid fill">
          <a:extLst>
            <a:ext uri="{FF2B5EF4-FFF2-40B4-BE49-F238E27FC236}">
              <a16:creationId xmlns:a16="http://schemas.microsoft.com/office/drawing/2014/main" id="{5EE58042-E8B0-07DB-3E27-9EB7D9E88BD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0020" y="2385060"/>
          <a:ext cx="579120" cy="579120"/>
        </a:xfrm>
        <a:prstGeom prst="rect">
          <a:avLst/>
        </a:prstGeom>
      </xdr:spPr>
    </xdr:pic>
    <xdr:clientData/>
  </xdr:twoCellAnchor>
  <xdr:twoCellAnchor>
    <xdr:from>
      <xdr:col>1</xdr:col>
      <xdr:colOff>114300</xdr:colOff>
      <xdr:row>7</xdr:row>
      <xdr:rowOff>99060</xdr:rowOff>
    </xdr:from>
    <xdr:to>
      <xdr:col>3</xdr:col>
      <xdr:colOff>182880</xdr:colOff>
      <xdr:row>9</xdr:row>
      <xdr:rowOff>68580</xdr:rowOff>
    </xdr:to>
    <xdr:sp macro="" textlink="I4">
      <xdr:nvSpPr>
        <xdr:cNvPr id="42" name="TextBox 41">
          <a:extLst>
            <a:ext uri="{FF2B5EF4-FFF2-40B4-BE49-F238E27FC236}">
              <a16:creationId xmlns:a16="http://schemas.microsoft.com/office/drawing/2014/main" id="{51BAA37D-8897-4091-B0D1-0DE5BF32774A}"/>
            </a:ext>
          </a:extLst>
        </xdr:cNvPr>
        <xdr:cNvSpPr txBox="1"/>
      </xdr:nvSpPr>
      <xdr:spPr>
        <a:xfrm>
          <a:off x="723900" y="1379220"/>
          <a:ext cx="1287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623A1A-B7A9-49F8-BF9F-DFA82C61B3DB}" type="TxLink">
            <a:rPr lang="en-US" sz="1100" b="0" i="0" u="none" strike="noStrike">
              <a:solidFill>
                <a:srgbClr val="000000"/>
              </a:solidFill>
              <a:latin typeface="Calibri"/>
              <a:ea typeface="Calibri"/>
              <a:cs typeface="Calibri"/>
            </a:rPr>
            <a:pPr/>
            <a:t> </a:t>
          </a:fld>
          <a:endParaRPr lang="en-US" sz="1400" b="1"/>
        </a:p>
      </xdr:txBody>
    </xdr:sp>
    <xdr:clientData/>
  </xdr:twoCellAnchor>
  <xdr:twoCellAnchor>
    <xdr:from>
      <xdr:col>1</xdr:col>
      <xdr:colOff>491221</xdr:colOff>
      <xdr:row>10</xdr:row>
      <xdr:rowOff>114069</xdr:rowOff>
    </xdr:from>
    <xdr:to>
      <xdr:col>3</xdr:col>
      <xdr:colOff>559801</xdr:colOff>
      <xdr:row>12</xdr:row>
      <xdr:rowOff>83589</xdr:rowOff>
    </xdr:to>
    <xdr:sp macro="" textlink="Sheet6!L6">
      <xdr:nvSpPr>
        <xdr:cNvPr id="43" name="TextBox 42">
          <a:extLst>
            <a:ext uri="{FF2B5EF4-FFF2-40B4-BE49-F238E27FC236}">
              <a16:creationId xmlns:a16="http://schemas.microsoft.com/office/drawing/2014/main" id="{36251979-8C76-415A-A97C-EB9554C7E134}"/>
            </a:ext>
          </a:extLst>
        </xdr:cNvPr>
        <xdr:cNvSpPr txBox="1"/>
      </xdr:nvSpPr>
      <xdr:spPr>
        <a:xfrm>
          <a:off x="1099282" y="1961342"/>
          <a:ext cx="1284701" cy="338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2B901D-8973-4CBC-94AC-26D18903F0C4}" type="TxLink">
            <a:rPr lang="en-US" sz="1400" b="1" i="0" u="none" strike="noStrike">
              <a:solidFill>
                <a:srgbClr val="000000"/>
              </a:solidFill>
              <a:latin typeface="Calibri"/>
              <a:ea typeface="Calibri"/>
              <a:cs typeface="Calibri"/>
            </a:rPr>
            <a:pPr/>
            <a:t>167460</a:t>
          </a:fld>
          <a:endParaRPr lang="en-US" sz="1400" b="1"/>
        </a:p>
      </xdr:txBody>
    </xdr:sp>
    <xdr:clientData/>
  </xdr:twoCellAnchor>
  <xdr:twoCellAnchor>
    <xdr:from>
      <xdr:col>1</xdr:col>
      <xdr:colOff>490835</xdr:colOff>
      <xdr:row>17</xdr:row>
      <xdr:rowOff>83666</xdr:rowOff>
    </xdr:from>
    <xdr:to>
      <xdr:col>3</xdr:col>
      <xdr:colOff>559415</xdr:colOff>
      <xdr:row>19</xdr:row>
      <xdr:rowOff>53186</xdr:rowOff>
    </xdr:to>
    <xdr:sp macro="" textlink="Sheet6!L9">
      <xdr:nvSpPr>
        <xdr:cNvPr id="45" name="TextBox 44">
          <a:extLst>
            <a:ext uri="{FF2B5EF4-FFF2-40B4-BE49-F238E27FC236}">
              <a16:creationId xmlns:a16="http://schemas.microsoft.com/office/drawing/2014/main" id="{012B4159-7915-4AF6-BE40-307AFEDCFA13}"/>
            </a:ext>
          </a:extLst>
        </xdr:cNvPr>
        <xdr:cNvSpPr txBox="1"/>
      </xdr:nvSpPr>
      <xdr:spPr>
        <a:xfrm>
          <a:off x="1098896" y="3224030"/>
          <a:ext cx="1284701" cy="338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9489BC-06EA-4FA3-A72A-D4EA08CFF84F}" type="TxLink">
            <a:rPr lang="en-US" sz="1400" b="1" i="0" u="none" strike="noStrike">
              <a:solidFill>
                <a:srgbClr val="000000"/>
              </a:solidFill>
              <a:latin typeface="Calibri"/>
              <a:ea typeface="Calibri"/>
              <a:cs typeface="Calibri"/>
            </a:rPr>
            <a:pPr/>
            <a:t>151722</a:t>
          </a:fld>
          <a:endParaRPr lang="en-US" sz="1400" b="1"/>
        </a:p>
      </xdr:txBody>
    </xdr:sp>
    <xdr:clientData/>
  </xdr:twoCellAnchor>
  <xdr:twoCellAnchor>
    <xdr:from>
      <xdr:col>1</xdr:col>
      <xdr:colOff>492606</xdr:colOff>
      <xdr:row>21</xdr:row>
      <xdr:rowOff>45719</xdr:rowOff>
    </xdr:from>
    <xdr:to>
      <xdr:col>4</xdr:col>
      <xdr:colOff>423333</xdr:colOff>
      <xdr:row>23</xdr:row>
      <xdr:rowOff>100060</xdr:rowOff>
    </xdr:to>
    <xdr:sp macro="" textlink="">
      <xdr:nvSpPr>
        <xdr:cNvPr id="46" name="TextBox 45">
          <a:extLst>
            <a:ext uri="{FF2B5EF4-FFF2-40B4-BE49-F238E27FC236}">
              <a16:creationId xmlns:a16="http://schemas.microsoft.com/office/drawing/2014/main" id="{64FC77F5-D42C-43E0-B300-6C6549D0CAAF}"/>
            </a:ext>
          </a:extLst>
        </xdr:cNvPr>
        <xdr:cNvSpPr txBox="1"/>
      </xdr:nvSpPr>
      <xdr:spPr>
        <a:xfrm>
          <a:off x="1100667" y="3924992"/>
          <a:ext cx="1870363" cy="423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175651</a:t>
          </a:r>
        </a:p>
        <a:p>
          <a:r>
            <a:rPr lang="en-US" sz="1400">
              <a:effectLst/>
            </a:rPr>
            <a:t> </a:t>
          </a:r>
          <a:endParaRPr lang="en-US" sz="1400" b="1"/>
        </a:p>
      </xdr:txBody>
    </xdr:sp>
    <xdr:clientData/>
  </xdr:twoCellAnchor>
  <xdr:twoCellAnchor>
    <xdr:from>
      <xdr:col>1</xdr:col>
      <xdr:colOff>512926</xdr:colOff>
      <xdr:row>25</xdr:row>
      <xdr:rowOff>107295</xdr:rowOff>
    </xdr:from>
    <xdr:to>
      <xdr:col>3</xdr:col>
      <xdr:colOff>581506</xdr:colOff>
      <xdr:row>27</xdr:row>
      <xdr:rowOff>76815</xdr:rowOff>
    </xdr:to>
    <xdr:sp macro="" textlink="Sheet6!L9">
      <xdr:nvSpPr>
        <xdr:cNvPr id="47" name="TextBox 46">
          <a:extLst>
            <a:ext uri="{FF2B5EF4-FFF2-40B4-BE49-F238E27FC236}">
              <a16:creationId xmlns:a16="http://schemas.microsoft.com/office/drawing/2014/main" id="{84E7BA18-212D-4F02-A909-75E5FB594C6D}"/>
            </a:ext>
          </a:extLst>
        </xdr:cNvPr>
        <xdr:cNvSpPr txBox="1"/>
      </xdr:nvSpPr>
      <xdr:spPr>
        <a:xfrm>
          <a:off x="1120987" y="4725477"/>
          <a:ext cx="1284701" cy="338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376314-9D90-4445-8C6A-9CD215962CCB}" type="TxLink">
            <a:rPr lang="en-US" sz="1400" b="1" i="0" u="none" strike="noStrike">
              <a:solidFill>
                <a:srgbClr val="000000"/>
              </a:solidFill>
              <a:latin typeface="Calibri"/>
              <a:ea typeface="Calibri"/>
              <a:cs typeface="Calibri"/>
            </a:rPr>
            <a:pPr/>
            <a:t>151722</a:t>
          </a:fld>
          <a:endParaRPr lang="en-US" sz="1400" b="1"/>
        </a:p>
      </xdr:txBody>
    </xdr:sp>
    <xdr:clientData/>
  </xdr:twoCellAnchor>
  <xdr:twoCellAnchor>
    <xdr:from>
      <xdr:col>1</xdr:col>
      <xdr:colOff>528397</xdr:colOff>
      <xdr:row>29</xdr:row>
      <xdr:rowOff>38331</xdr:rowOff>
    </xdr:from>
    <xdr:to>
      <xdr:col>3</xdr:col>
      <xdr:colOff>596977</xdr:colOff>
      <xdr:row>31</xdr:row>
      <xdr:rowOff>6004</xdr:rowOff>
    </xdr:to>
    <xdr:sp macro="" textlink="Sheet6!L7">
      <xdr:nvSpPr>
        <xdr:cNvPr id="48" name="TextBox 47">
          <a:extLst>
            <a:ext uri="{FF2B5EF4-FFF2-40B4-BE49-F238E27FC236}">
              <a16:creationId xmlns:a16="http://schemas.microsoft.com/office/drawing/2014/main" id="{7895A121-4694-4DF3-8F6D-A07E6DA3D12E}"/>
            </a:ext>
          </a:extLst>
        </xdr:cNvPr>
        <xdr:cNvSpPr txBox="1"/>
      </xdr:nvSpPr>
      <xdr:spPr>
        <a:xfrm>
          <a:off x="1136458" y="5395422"/>
          <a:ext cx="1284701" cy="33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E580E2-5497-4FB7-B2DC-0B5A2FB7F634}" type="TxLink">
            <a:rPr lang="en-US" sz="1400" b="1" i="0" u="none" strike="noStrike">
              <a:solidFill>
                <a:srgbClr val="000000"/>
              </a:solidFill>
              <a:latin typeface="Calibri"/>
              <a:ea typeface="Calibri"/>
              <a:cs typeface="Calibri"/>
            </a:rPr>
            <a:pPr/>
            <a:t>192127</a:t>
          </a:fld>
          <a:endParaRPr lang="en-US" sz="1400" b="1"/>
        </a:p>
      </xdr:txBody>
    </xdr:sp>
    <xdr:clientData/>
  </xdr:twoCellAnchor>
  <xdr:twoCellAnchor>
    <xdr:from>
      <xdr:col>1</xdr:col>
      <xdr:colOff>490682</xdr:colOff>
      <xdr:row>7</xdr:row>
      <xdr:rowOff>30018</xdr:rowOff>
    </xdr:from>
    <xdr:to>
      <xdr:col>3</xdr:col>
      <xdr:colOff>559262</xdr:colOff>
      <xdr:row>8</xdr:row>
      <xdr:rowOff>184265</xdr:rowOff>
    </xdr:to>
    <xdr:sp macro="" textlink="Sheet6!L5">
      <xdr:nvSpPr>
        <xdr:cNvPr id="49" name="TextBox 48">
          <a:extLst>
            <a:ext uri="{FF2B5EF4-FFF2-40B4-BE49-F238E27FC236}">
              <a16:creationId xmlns:a16="http://schemas.microsoft.com/office/drawing/2014/main" id="{1AEC6B62-57BE-460E-B226-F1AEF2B9F4D6}"/>
            </a:ext>
          </a:extLst>
        </xdr:cNvPr>
        <xdr:cNvSpPr txBox="1"/>
      </xdr:nvSpPr>
      <xdr:spPr>
        <a:xfrm>
          <a:off x="1098743" y="1323109"/>
          <a:ext cx="1284701" cy="338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9E61E7-03E5-4722-AAA2-430174E5C48E}" type="TxLink">
            <a:rPr lang="en-US" sz="1400" b="1" i="0" u="none" strike="noStrike">
              <a:solidFill>
                <a:srgbClr val="000000"/>
              </a:solidFill>
              <a:latin typeface="Calibri"/>
              <a:ea typeface="Calibri"/>
              <a:cs typeface="Calibri"/>
            </a:rPr>
            <a:pPr/>
            <a:t>195620</a:t>
          </a:fld>
          <a:endParaRPr lang="en-US" sz="1400" b="1"/>
        </a:p>
      </xdr:txBody>
    </xdr:sp>
    <xdr:clientData/>
  </xdr:twoCellAnchor>
  <xdr:twoCellAnchor>
    <xdr:from>
      <xdr:col>1</xdr:col>
      <xdr:colOff>508000</xdr:colOff>
      <xdr:row>13</xdr:row>
      <xdr:rowOff>169333</xdr:rowOff>
    </xdr:from>
    <xdr:to>
      <xdr:col>3</xdr:col>
      <xdr:colOff>576580</xdr:colOff>
      <xdr:row>15</xdr:row>
      <xdr:rowOff>138853</xdr:rowOff>
    </xdr:to>
    <xdr:sp macro="" textlink="Sheet6!L10">
      <xdr:nvSpPr>
        <xdr:cNvPr id="50" name="TextBox 49">
          <a:extLst>
            <a:ext uri="{FF2B5EF4-FFF2-40B4-BE49-F238E27FC236}">
              <a16:creationId xmlns:a16="http://schemas.microsoft.com/office/drawing/2014/main" id="{E3532040-E521-49C2-891D-50B8D77453E7}"/>
            </a:ext>
          </a:extLst>
        </xdr:cNvPr>
        <xdr:cNvSpPr txBox="1"/>
      </xdr:nvSpPr>
      <xdr:spPr>
        <a:xfrm>
          <a:off x="1116061" y="2570788"/>
          <a:ext cx="1284701" cy="338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E46FB-EE36-4C6C-949E-CBC262CA6F9C}" type="TxLink">
            <a:rPr lang="en-US" sz="1400" b="1" i="0" u="none" strike="noStrike">
              <a:solidFill>
                <a:srgbClr val="000000"/>
              </a:solidFill>
              <a:latin typeface="Calibri"/>
              <a:ea typeface="Calibri"/>
              <a:cs typeface="Calibri"/>
            </a:rPr>
            <a:pPr/>
            <a:t>195613</a:t>
          </a:fld>
          <a:endParaRPr lang="en-US" sz="1400" b="1"/>
        </a:p>
      </xdr:txBody>
    </xdr:sp>
    <xdr:clientData/>
  </xdr:twoCellAnchor>
  <xdr:twoCellAnchor>
    <xdr:from>
      <xdr:col>3</xdr:col>
      <xdr:colOff>246303</xdr:colOff>
      <xdr:row>6</xdr:row>
      <xdr:rowOff>153938</xdr:rowOff>
    </xdr:from>
    <xdr:to>
      <xdr:col>9</xdr:col>
      <xdr:colOff>330970</xdr:colOff>
      <xdr:row>19</xdr:row>
      <xdr:rowOff>38485</xdr:rowOff>
    </xdr:to>
    <xdr:sp macro="" textlink="">
      <xdr:nvSpPr>
        <xdr:cNvPr id="54" name="Rectangle 53">
          <a:extLst>
            <a:ext uri="{FF2B5EF4-FFF2-40B4-BE49-F238E27FC236}">
              <a16:creationId xmlns:a16="http://schemas.microsoft.com/office/drawing/2014/main" id="{CE523A80-D422-0C19-43FF-30CB395D1CC3}"/>
            </a:ext>
          </a:extLst>
        </xdr:cNvPr>
        <xdr:cNvSpPr/>
      </xdr:nvSpPr>
      <xdr:spPr>
        <a:xfrm>
          <a:off x="2070485" y="1262302"/>
          <a:ext cx="3848485" cy="228600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592667</xdr:colOff>
      <xdr:row>6</xdr:row>
      <xdr:rowOff>161635</xdr:rowOff>
    </xdr:from>
    <xdr:to>
      <xdr:col>15</xdr:col>
      <xdr:colOff>708121</xdr:colOff>
      <xdr:row>19</xdr:row>
      <xdr:rowOff>23090</xdr:rowOff>
    </xdr:to>
    <xdr:sp macro="" textlink="">
      <xdr:nvSpPr>
        <xdr:cNvPr id="55" name="Rectangle 54">
          <a:extLst>
            <a:ext uri="{FF2B5EF4-FFF2-40B4-BE49-F238E27FC236}">
              <a16:creationId xmlns:a16="http://schemas.microsoft.com/office/drawing/2014/main" id="{03DA1B13-E217-4B42-8C0F-1CC2724975EF}"/>
            </a:ext>
          </a:extLst>
        </xdr:cNvPr>
        <xdr:cNvSpPr/>
      </xdr:nvSpPr>
      <xdr:spPr>
        <a:xfrm>
          <a:off x="6180667" y="1269999"/>
          <a:ext cx="3763818" cy="22629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284787</xdr:colOff>
      <xdr:row>6</xdr:row>
      <xdr:rowOff>138545</xdr:rowOff>
    </xdr:from>
    <xdr:to>
      <xdr:col>22</xdr:col>
      <xdr:colOff>315576</xdr:colOff>
      <xdr:row>19</xdr:row>
      <xdr:rowOff>7696</xdr:rowOff>
    </xdr:to>
    <xdr:sp macro="" textlink="">
      <xdr:nvSpPr>
        <xdr:cNvPr id="56" name="Rectangle 55">
          <a:extLst>
            <a:ext uri="{FF2B5EF4-FFF2-40B4-BE49-F238E27FC236}">
              <a16:creationId xmlns:a16="http://schemas.microsoft.com/office/drawing/2014/main" id="{5AFCCD42-E91A-4A23-B4FC-DFF75B605043}"/>
            </a:ext>
          </a:extLst>
        </xdr:cNvPr>
        <xdr:cNvSpPr/>
      </xdr:nvSpPr>
      <xdr:spPr>
        <a:xfrm>
          <a:off x="10244666" y="1246909"/>
          <a:ext cx="3679152" cy="22706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253999</xdr:colOff>
      <xdr:row>8</xdr:row>
      <xdr:rowOff>138545</xdr:rowOff>
    </xdr:from>
    <xdr:to>
      <xdr:col>15</xdr:col>
      <xdr:colOff>538787</xdr:colOff>
      <xdr:row>18</xdr:row>
      <xdr:rowOff>69272</xdr:rowOff>
    </xdr:to>
    <xdr:graphicFrame macro="">
      <xdr:nvGraphicFramePr>
        <xdr:cNvPr id="58" name="Chart 1">
          <a:extLst>
            <a:ext uri="{FF2B5EF4-FFF2-40B4-BE49-F238E27FC236}">
              <a16:creationId xmlns:a16="http://schemas.microsoft.com/office/drawing/2014/main" id="{C3063171-AAB3-DDD8-234A-8085DA903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17</xdr:col>
      <xdr:colOff>115762</xdr:colOff>
      <xdr:row>7</xdr:row>
      <xdr:rowOff>172683</xdr:rowOff>
    </xdr:from>
    <xdr:to>
      <xdr:col>21</xdr:col>
      <xdr:colOff>400242</xdr:colOff>
      <xdr:row>18</xdr:row>
      <xdr:rowOff>123153</xdr:rowOff>
    </xdr:to>
    <xdr:graphicFrame macro="">
      <xdr:nvGraphicFramePr>
        <xdr:cNvPr id="59" name="Chart 1">
          <a:extLst>
            <a:ext uri="{FF2B5EF4-FFF2-40B4-BE49-F238E27FC236}">
              <a16:creationId xmlns:a16="http://schemas.microsoft.com/office/drawing/2014/main" id="{66DE49F1-5922-ECB2-7C5C-30053FFEE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238606</xdr:colOff>
      <xdr:row>20</xdr:row>
      <xdr:rowOff>30788</xdr:rowOff>
    </xdr:from>
    <xdr:to>
      <xdr:col>9</xdr:col>
      <xdr:colOff>377152</xdr:colOff>
      <xdr:row>32</xdr:row>
      <xdr:rowOff>76969</xdr:rowOff>
    </xdr:to>
    <xdr:sp macro="" textlink="">
      <xdr:nvSpPr>
        <xdr:cNvPr id="60" name="Rectangle 59">
          <a:extLst>
            <a:ext uri="{FF2B5EF4-FFF2-40B4-BE49-F238E27FC236}">
              <a16:creationId xmlns:a16="http://schemas.microsoft.com/office/drawing/2014/main" id="{89610A10-BA41-40BC-8E1D-C6CB6D870FEC}"/>
            </a:ext>
          </a:extLst>
        </xdr:cNvPr>
        <xdr:cNvSpPr/>
      </xdr:nvSpPr>
      <xdr:spPr>
        <a:xfrm>
          <a:off x="2062788" y="3725333"/>
          <a:ext cx="3902364" cy="22629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592667</xdr:colOff>
      <xdr:row>20</xdr:row>
      <xdr:rowOff>46183</xdr:rowOff>
    </xdr:from>
    <xdr:to>
      <xdr:col>15</xdr:col>
      <xdr:colOff>708121</xdr:colOff>
      <xdr:row>32</xdr:row>
      <xdr:rowOff>92364</xdr:rowOff>
    </xdr:to>
    <xdr:sp macro="" textlink="">
      <xdr:nvSpPr>
        <xdr:cNvPr id="61" name="Rectangle 60">
          <a:extLst>
            <a:ext uri="{FF2B5EF4-FFF2-40B4-BE49-F238E27FC236}">
              <a16:creationId xmlns:a16="http://schemas.microsoft.com/office/drawing/2014/main" id="{E0F991CB-9220-4D81-98D4-5AD23075CA91}"/>
            </a:ext>
          </a:extLst>
        </xdr:cNvPr>
        <xdr:cNvSpPr/>
      </xdr:nvSpPr>
      <xdr:spPr>
        <a:xfrm>
          <a:off x="6180667" y="3740728"/>
          <a:ext cx="3763818" cy="22629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550844</xdr:colOff>
      <xdr:row>21</xdr:row>
      <xdr:rowOff>27544</xdr:rowOff>
    </xdr:from>
    <xdr:to>
      <xdr:col>19</xdr:col>
      <xdr:colOff>74181</xdr:colOff>
      <xdr:row>31</xdr:row>
      <xdr:rowOff>157360</xdr:rowOff>
    </xdr:to>
    <mc:AlternateContent xmlns:mc="http://schemas.openxmlformats.org/markup-compatibility/2006" xmlns:a14="http://schemas.microsoft.com/office/drawing/2010/main">
      <mc:Choice Requires="a14">
        <xdr:graphicFrame macro="">
          <xdr:nvGraphicFramePr>
            <xdr:cNvPr id="63" name="Product 1">
              <a:extLst>
                <a:ext uri="{FF2B5EF4-FFF2-40B4-BE49-F238E27FC236}">
                  <a16:creationId xmlns:a16="http://schemas.microsoft.com/office/drawing/2014/main" id="{62BA7BBB-F1CB-4030-98E7-7EDBB0E9A42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484386" y="3883448"/>
              <a:ext cx="134112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413132</xdr:colOff>
      <xdr:row>21</xdr:row>
      <xdr:rowOff>119348</xdr:rowOff>
    </xdr:from>
    <xdr:to>
      <xdr:col>21</xdr:col>
      <xdr:colOff>413132</xdr:colOff>
      <xdr:row>31</xdr:row>
      <xdr:rowOff>146891</xdr:rowOff>
    </xdr:to>
    <mc:AlternateContent xmlns:mc="http://schemas.openxmlformats.org/markup-compatibility/2006" xmlns:a14="http://schemas.microsoft.com/office/drawing/2010/main">
      <mc:Choice Requires="a14">
        <xdr:graphicFrame macro="">
          <xdr:nvGraphicFramePr>
            <xdr:cNvPr id="64" name="PaymentMethod 1">
              <a:extLst>
                <a:ext uri="{FF2B5EF4-FFF2-40B4-BE49-F238E27FC236}">
                  <a16:creationId xmlns:a16="http://schemas.microsoft.com/office/drawing/2014/main" id="{BFA03171-E266-44E8-921C-AD46B62A4415}"/>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2164457" y="3975252"/>
              <a:ext cx="1211856" cy="1863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341727</xdr:colOff>
      <xdr:row>22</xdr:row>
      <xdr:rowOff>156073</xdr:rowOff>
    </xdr:from>
    <xdr:to>
      <xdr:col>15</xdr:col>
      <xdr:colOff>293783</xdr:colOff>
      <xdr:row>32</xdr:row>
      <xdr:rowOff>137711</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9B664B2C-065B-406B-A16F-4072844A30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6552027" y="4179433"/>
              <a:ext cx="3000056" cy="1810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21</xdr:row>
      <xdr:rowOff>64264</xdr:rowOff>
    </xdr:from>
    <xdr:to>
      <xdr:col>8</xdr:col>
      <xdr:colOff>459036</xdr:colOff>
      <xdr:row>32</xdr:row>
      <xdr:rowOff>0</xdr:rowOff>
    </xdr:to>
    <xdr:graphicFrame macro="">
      <xdr:nvGraphicFramePr>
        <xdr:cNvPr id="66" name="Chart 65">
          <a:extLst>
            <a:ext uri="{FF2B5EF4-FFF2-40B4-BE49-F238E27FC236}">
              <a16:creationId xmlns:a16="http://schemas.microsoft.com/office/drawing/2014/main" id="{8ACC9CE2-B739-4B70-9CD6-38FF19582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403953</xdr:colOff>
      <xdr:row>8</xdr:row>
      <xdr:rowOff>128530</xdr:rowOff>
    </xdr:from>
    <xdr:to>
      <xdr:col>9</xdr:col>
      <xdr:colOff>128531</xdr:colOff>
      <xdr:row>18</xdr:row>
      <xdr:rowOff>146892</xdr:rowOff>
    </xdr:to>
    <xdr:graphicFrame macro="">
      <xdr:nvGraphicFramePr>
        <xdr:cNvPr id="67" name="Chart 2">
          <a:extLst>
            <a:ext uri="{FF2B5EF4-FFF2-40B4-BE49-F238E27FC236}">
              <a16:creationId xmlns:a16="http://schemas.microsoft.com/office/drawing/2014/main" id="{17EC3670-15B4-4D71-9CA8-C9E9F9B62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10</xdr:col>
      <xdr:colOff>341727</xdr:colOff>
      <xdr:row>22</xdr:row>
      <xdr:rowOff>18362</xdr:rowOff>
    </xdr:from>
    <xdr:to>
      <xdr:col>15</xdr:col>
      <xdr:colOff>431494</xdr:colOff>
      <xdr:row>32</xdr:row>
      <xdr:rowOff>36722</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AEC6B44F-4230-4F74-8FBA-6A3FD57A60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6552027" y="4041722"/>
              <a:ext cx="3137767" cy="1847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6</xdr:row>
      <xdr:rowOff>95250</xdr:rowOff>
    </xdr:from>
    <xdr:to>
      <xdr:col>15</xdr:col>
      <xdr:colOff>228600</xdr:colOff>
      <xdr:row>21</xdr:row>
      <xdr:rowOff>95250</xdr:rowOff>
    </xdr:to>
    <xdr:graphicFrame macro="">
      <xdr:nvGraphicFramePr>
        <xdr:cNvPr id="3" name="Chart 2">
          <a:extLst>
            <a:ext uri="{FF2B5EF4-FFF2-40B4-BE49-F238E27FC236}">
              <a16:creationId xmlns:a16="http://schemas.microsoft.com/office/drawing/2014/main" id="{D7AEFE37-34A7-496D-CCC8-B73D762B9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144780</xdr:colOff>
      <xdr:row>9</xdr:row>
      <xdr:rowOff>160021</xdr:rowOff>
    </xdr:from>
    <xdr:to>
      <xdr:col>14</xdr:col>
      <xdr:colOff>586430</xdr:colOff>
      <xdr:row>20</xdr:row>
      <xdr:rowOff>114301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B20738FC-C012-5697-32A2-BA213B1FC51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335433" y="1839531"/>
              <a:ext cx="1343609" cy="2007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5</xdr:row>
      <xdr:rowOff>0</xdr:rowOff>
    </xdr:from>
    <xdr:to>
      <xdr:col>20</xdr:col>
      <xdr:colOff>45720</xdr:colOff>
      <xdr:row>18</xdr:row>
      <xdr:rowOff>89535</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E771C96D-32AB-1522-013F-9742A265762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272157" y="933061"/>
              <a:ext cx="1820869" cy="2515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482081</xdr:colOff>
      <xdr:row>12</xdr:row>
      <xdr:rowOff>8553</xdr:rowOff>
    </xdr:from>
    <xdr:to>
      <xdr:col>12</xdr:col>
      <xdr:colOff>124408</xdr:colOff>
      <xdr:row>26</xdr:row>
      <xdr:rowOff>139182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7CFE022-58A0-5DC0-8C2E-F186C4EF4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5461" y="2203113"/>
              <a:ext cx="4252427" cy="26909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925285</xdr:colOff>
      <xdr:row>26</xdr:row>
      <xdr:rowOff>139960</xdr:rowOff>
    </xdr:from>
    <xdr:to>
      <xdr:col>13</xdr:col>
      <xdr:colOff>653142</xdr:colOff>
      <xdr:row>40</xdr:row>
      <xdr:rowOff>92529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BDF1DDFA-4561-1464-6CC8-544097F30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18265" y="4894840"/>
              <a:ext cx="3972197" cy="25128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ADIL" refreshedDate="46153.472735763891" createdVersion="8" refreshedVersion="8" minRefreshableVersion="3" recordCount="1200" xr:uid="{C6283F0D-E6FC-486A-8ED8-8A67757ED005}">
  <cacheSource type="worksheet">
    <worksheetSource name="ordersTable"/>
  </cacheSource>
  <cacheFields count="18">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11">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49">
      <sharedItems count="7">
        <s v="Monitor"/>
        <s v="Phone"/>
        <s v="Tablet"/>
        <s v="Chair"/>
        <s v="Printer"/>
        <s v="Laptop"/>
        <s v="Desk"/>
      </sharedItems>
    </cacheField>
    <cacheField name="Quantity" numFmtId="2">
      <sharedItems containsSemiMixedTypes="0" containsString="0" containsNumber="1" containsInteger="1" minValue="1" maxValue="5" count="5">
        <n v="5"/>
        <n v="2"/>
        <n v="1"/>
        <n v="4"/>
        <n v="3"/>
      </sharedItems>
    </cacheField>
    <cacheField name="UnitPrice" numFmtId="2">
      <sharedItems containsSemiMixedTypes="0" containsString="0" containsNumber="1" minValue="11.39" maxValue="699.93" count="1193">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sharedItems>
    </cacheField>
    <cacheField name="ShippingAddress" numFmtId="49">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49">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49">
      <sharedItems containsSemiMixedTypes="0" containsString="0" containsNumber="1" containsInteger="1" minValue="1" maxValue="10"/>
    </cacheField>
    <cacheField name="CouponCode" numFmtId="49">
      <sharedItems containsBlank="1" count="4">
        <s v="SAVE10"/>
        <s v="FREESHIP"/>
        <m/>
        <s v="WINTER15"/>
      </sharedItems>
    </cacheField>
    <cacheField name="ReferralSource" numFmtId="49">
      <sharedItems count="5">
        <s v="Instagram"/>
        <s v="Referral"/>
        <s v="Email"/>
        <s v="Facebook"/>
        <s v="Google"/>
      </sharedItems>
    </cacheField>
    <cacheField name="TotalPrice" numFmtId="49">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Column1" numFmtId="49">
      <sharedItems containsSemiMixedTypes="0" containsString="0" containsNumber="1" containsInteger="1" minValue="0" maxValue="0"/>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785016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s v="928 Main St"/>
    <x v="0"/>
    <x v="0"/>
    <x v="0"/>
    <n v="7"/>
    <x v="0"/>
    <x v="0"/>
    <x v="0"/>
    <n v="0"/>
  </r>
  <r>
    <x v="1"/>
    <x v="1"/>
    <x v="1"/>
    <x v="1"/>
    <x v="1"/>
    <x v="1"/>
    <s v="823 Main St"/>
    <x v="1"/>
    <x v="0"/>
    <x v="1"/>
    <n v="3"/>
    <x v="0"/>
    <x v="1"/>
    <x v="1"/>
    <n v="0"/>
  </r>
  <r>
    <x v="2"/>
    <x v="2"/>
    <x v="2"/>
    <x v="2"/>
    <x v="0"/>
    <x v="2"/>
    <s v="512 Main St"/>
    <x v="2"/>
    <x v="1"/>
    <x v="2"/>
    <n v="8"/>
    <x v="1"/>
    <x v="2"/>
    <x v="2"/>
    <n v="0"/>
  </r>
  <r>
    <x v="3"/>
    <x v="3"/>
    <x v="3"/>
    <x v="3"/>
    <x v="2"/>
    <x v="3"/>
    <s v="275 Main St"/>
    <x v="0"/>
    <x v="2"/>
    <x v="3"/>
    <n v="5"/>
    <x v="0"/>
    <x v="3"/>
    <x v="3"/>
    <n v="0"/>
  </r>
  <r>
    <x v="4"/>
    <x v="4"/>
    <x v="4"/>
    <x v="4"/>
    <x v="3"/>
    <x v="4"/>
    <s v="668 Main St"/>
    <x v="1"/>
    <x v="3"/>
    <x v="4"/>
    <n v="8"/>
    <x v="0"/>
    <x v="2"/>
    <x v="4"/>
    <n v="0"/>
  </r>
  <r>
    <x v="5"/>
    <x v="5"/>
    <x v="5"/>
    <x v="1"/>
    <x v="1"/>
    <x v="5"/>
    <s v="934 Main St"/>
    <x v="2"/>
    <x v="0"/>
    <x v="5"/>
    <n v="4"/>
    <x v="0"/>
    <x v="0"/>
    <x v="5"/>
    <n v="0"/>
  </r>
  <r>
    <x v="6"/>
    <x v="6"/>
    <x v="6"/>
    <x v="5"/>
    <x v="2"/>
    <x v="6"/>
    <s v="986 Main St"/>
    <x v="3"/>
    <x v="2"/>
    <x v="6"/>
    <n v="6"/>
    <x v="0"/>
    <x v="3"/>
    <x v="6"/>
    <n v="0"/>
  </r>
  <r>
    <x v="7"/>
    <x v="7"/>
    <x v="7"/>
    <x v="0"/>
    <x v="0"/>
    <x v="7"/>
    <s v="706 Main St"/>
    <x v="4"/>
    <x v="0"/>
    <x v="7"/>
    <n v="9"/>
    <x v="1"/>
    <x v="3"/>
    <x v="7"/>
    <n v="0"/>
  </r>
  <r>
    <x v="8"/>
    <x v="8"/>
    <x v="8"/>
    <x v="1"/>
    <x v="1"/>
    <x v="8"/>
    <s v="904 Main St"/>
    <x v="3"/>
    <x v="1"/>
    <x v="8"/>
    <n v="2"/>
    <x v="2"/>
    <x v="2"/>
    <x v="8"/>
    <n v="0"/>
  </r>
  <r>
    <x v="9"/>
    <x v="9"/>
    <x v="9"/>
    <x v="6"/>
    <x v="3"/>
    <x v="9"/>
    <s v="102 Main St"/>
    <x v="2"/>
    <x v="0"/>
    <x v="9"/>
    <n v="6"/>
    <x v="0"/>
    <x v="4"/>
    <x v="9"/>
    <n v="0"/>
  </r>
  <r>
    <x v="10"/>
    <x v="10"/>
    <x v="10"/>
    <x v="2"/>
    <x v="0"/>
    <x v="10"/>
    <s v="333 Main St"/>
    <x v="2"/>
    <x v="2"/>
    <x v="10"/>
    <n v="9"/>
    <x v="3"/>
    <x v="0"/>
    <x v="10"/>
    <n v="0"/>
  </r>
  <r>
    <x v="11"/>
    <x v="11"/>
    <x v="11"/>
    <x v="0"/>
    <x v="4"/>
    <x v="11"/>
    <s v="831 Main St"/>
    <x v="1"/>
    <x v="2"/>
    <x v="11"/>
    <n v="7"/>
    <x v="0"/>
    <x v="2"/>
    <x v="11"/>
    <n v="0"/>
  </r>
  <r>
    <x v="12"/>
    <x v="12"/>
    <x v="12"/>
    <x v="0"/>
    <x v="1"/>
    <x v="12"/>
    <s v="179 Main St"/>
    <x v="0"/>
    <x v="4"/>
    <x v="12"/>
    <n v="6"/>
    <x v="1"/>
    <x v="1"/>
    <x v="12"/>
    <n v="0"/>
  </r>
  <r>
    <x v="13"/>
    <x v="13"/>
    <x v="13"/>
    <x v="5"/>
    <x v="4"/>
    <x v="13"/>
    <s v="903 Main St"/>
    <x v="2"/>
    <x v="2"/>
    <x v="13"/>
    <n v="4"/>
    <x v="1"/>
    <x v="3"/>
    <x v="13"/>
    <n v="0"/>
  </r>
  <r>
    <x v="14"/>
    <x v="14"/>
    <x v="14"/>
    <x v="2"/>
    <x v="1"/>
    <x v="14"/>
    <s v="980 Main St"/>
    <x v="0"/>
    <x v="4"/>
    <x v="14"/>
    <n v="3"/>
    <x v="0"/>
    <x v="0"/>
    <x v="14"/>
    <n v="0"/>
  </r>
  <r>
    <x v="15"/>
    <x v="15"/>
    <x v="15"/>
    <x v="4"/>
    <x v="2"/>
    <x v="15"/>
    <s v="942 Main St"/>
    <x v="4"/>
    <x v="3"/>
    <x v="15"/>
    <n v="3"/>
    <x v="2"/>
    <x v="4"/>
    <x v="15"/>
    <n v="0"/>
  </r>
  <r>
    <x v="16"/>
    <x v="16"/>
    <x v="16"/>
    <x v="4"/>
    <x v="1"/>
    <x v="16"/>
    <s v="914 Main St"/>
    <x v="2"/>
    <x v="4"/>
    <x v="16"/>
    <n v="3"/>
    <x v="1"/>
    <x v="2"/>
    <x v="16"/>
    <n v="0"/>
  </r>
  <r>
    <x v="17"/>
    <x v="17"/>
    <x v="17"/>
    <x v="2"/>
    <x v="2"/>
    <x v="17"/>
    <s v="382 Main St"/>
    <x v="0"/>
    <x v="0"/>
    <x v="17"/>
    <n v="3"/>
    <x v="2"/>
    <x v="1"/>
    <x v="17"/>
    <n v="0"/>
  </r>
  <r>
    <x v="18"/>
    <x v="18"/>
    <x v="18"/>
    <x v="6"/>
    <x v="2"/>
    <x v="18"/>
    <s v="891 Main St"/>
    <x v="3"/>
    <x v="4"/>
    <x v="18"/>
    <n v="3"/>
    <x v="0"/>
    <x v="3"/>
    <x v="18"/>
    <n v="0"/>
  </r>
  <r>
    <x v="19"/>
    <x v="19"/>
    <x v="19"/>
    <x v="0"/>
    <x v="0"/>
    <x v="19"/>
    <s v="273 Main St"/>
    <x v="4"/>
    <x v="2"/>
    <x v="19"/>
    <n v="9"/>
    <x v="0"/>
    <x v="4"/>
    <x v="19"/>
    <n v="0"/>
  </r>
  <r>
    <x v="20"/>
    <x v="20"/>
    <x v="20"/>
    <x v="3"/>
    <x v="0"/>
    <x v="20"/>
    <s v="587 Main St"/>
    <x v="4"/>
    <x v="4"/>
    <x v="20"/>
    <n v="9"/>
    <x v="3"/>
    <x v="0"/>
    <x v="20"/>
    <n v="0"/>
  </r>
  <r>
    <x v="21"/>
    <x v="21"/>
    <x v="21"/>
    <x v="0"/>
    <x v="3"/>
    <x v="21"/>
    <s v="569 Main St"/>
    <x v="4"/>
    <x v="3"/>
    <x v="21"/>
    <n v="6"/>
    <x v="2"/>
    <x v="4"/>
    <x v="21"/>
    <n v="0"/>
  </r>
  <r>
    <x v="22"/>
    <x v="22"/>
    <x v="22"/>
    <x v="0"/>
    <x v="1"/>
    <x v="22"/>
    <s v="633 Main St"/>
    <x v="1"/>
    <x v="4"/>
    <x v="22"/>
    <n v="2"/>
    <x v="0"/>
    <x v="4"/>
    <x v="22"/>
    <n v="0"/>
  </r>
  <r>
    <x v="23"/>
    <x v="23"/>
    <x v="23"/>
    <x v="1"/>
    <x v="3"/>
    <x v="23"/>
    <s v="755 Main St"/>
    <x v="0"/>
    <x v="1"/>
    <x v="23"/>
    <n v="5"/>
    <x v="1"/>
    <x v="1"/>
    <x v="23"/>
    <n v="0"/>
  </r>
  <r>
    <x v="24"/>
    <x v="24"/>
    <x v="24"/>
    <x v="5"/>
    <x v="1"/>
    <x v="24"/>
    <s v="956 Main St"/>
    <x v="1"/>
    <x v="3"/>
    <x v="24"/>
    <n v="3"/>
    <x v="3"/>
    <x v="1"/>
    <x v="24"/>
    <n v="0"/>
  </r>
  <r>
    <x v="25"/>
    <x v="25"/>
    <x v="25"/>
    <x v="0"/>
    <x v="2"/>
    <x v="25"/>
    <s v="709 Main St"/>
    <x v="0"/>
    <x v="3"/>
    <x v="25"/>
    <n v="3"/>
    <x v="3"/>
    <x v="2"/>
    <x v="25"/>
    <n v="0"/>
  </r>
  <r>
    <x v="26"/>
    <x v="26"/>
    <x v="26"/>
    <x v="5"/>
    <x v="0"/>
    <x v="26"/>
    <s v="296 Main St"/>
    <x v="1"/>
    <x v="3"/>
    <x v="26"/>
    <n v="6"/>
    <x v="2"/>
    <x v="1"/>
    <x v="26"/>
    <n v="0"/>
  </r>
  <r>
    <x v="27"/>
    <x v="27"/>
    <x v="27"/>
    <x v="4"/>
    <x v="2"/>
    <x v="27"/>
    <s v="881 Main St"/>
    <x v="1"/>
    <x v="0"/>
    <x v="27"/>
    <n v="6"/>
    <x v="3"/>
    <x v="4"/>
    <x v="27"/>
    <n v="0"/>
  </r>
  <r>
    <x v="28"/>
    <x v="9"/>
    <x v="28"/>
    <x v="1"/>
    <x v="3"/>
    <x v="28"/>
    <s v="568 Main St"/>
    <x v="1"/>
    <x v="4"/>
    <x v="28"/>
    <n v="5"/>
    <x v="2"/>
    <x v="2"/>
    <x v="28"/>
    <n v="0"/>
  </r>
  <r>
    <x v="29"/>
    <x v="28"/>
    <x v="29"/>
    <x v="6"/>
    <x v="4"/>
    <x v="29"/>
    <s v="930 Main St"/>
    <x v="2"/>
    <x v="3"/>
    <x v="29"/>
    <n v="6"/>
    <x v="0"/>
    <x v="1"/>
    <x v="29"/>
    <n v="0"/>
  </r>
  <r>
    <x v="30"/>
    <x v="29"/>
    <x v="30"/>
    <x v="0"/>
    <x v="1"/>
    <x v="30"/>
    <s v="895 Main St"/>
    <x v="1"/>
    <x v="4"/>
    <x v="30"/>
    <n v="5"/>
    <x v="0"/>
    <x v="1"/>
    <x v="30"/>
    <n v="0"/>
  </r>
  <r>
    <x v="31"/>
    <x v="30"/>
    <x v="31"/>
    <x v="3"/>
    <x v="4"/>
    <x v="31"/>
    <s v="996 Main St"/>
    <x v="0"/>
    <x v="2"/>
    <x v="31"/>
    <n v="6"/>
    <x v="2"/>
    <x v="3"/>
    <x v="31"/>
    <n v="0"/>
  </r>
  <r>
    <x v="32"/>
    <x v="31"/>
    <x v="32"/>
    <x v="2"/>
    <x v="0"/>
    <x v="32"/>
    <s v="830 Main St"/>
    <x v="4"/>
    <x v="3"/>
    <x v="32"/>
    <n v="10"/>
    <x v="2"/>
    <x v="2"/>
    <x v="32"/>
    <n v="0"/>
  </r>
  <r>
    <x v="33"/>
    <x v="32"/>
    <x v="33"/>
    <x v="3"/>
    <x v="2"/>
    <x v="33"/>
    <s v="912 Main St"/>
    <x v="1"/>
    <x v="1"/>
    <x v="33"/>
    <n v="4"/>
    <x v="3"/>
    <x v="3"/>
    <x v="33"/>
    <n v="0"/>
  </r>
  <r>
    <x v="34"/>
    <x v="33"/>
    <x v="34"/>
    <x v="3"/>
    <x v="3"/>
    <x v="34"/>
    <s v="926 Main St"/>
    <x v="2"/>
    <x v="4"/>
    <x v="34"/>
    <n v="5"/>
    <x v="3"/>
    <x v="3"/>
    <x v="34"/>
    <n v="0"/>
  </r>
  <r>
    <x v="35"/>
    <x v="34"/>
    <x v="35"/>
    <x v="0"/>
    <x v="1"/>
    <x v="35"/>
    <s v="128 Main St"/>
    <x v="1"/>
    <x v="0"/>
    <x v="35"/>
    <n v="2"/>
    <x v="0"/>
    <x v="3"/>
    <x v="35"/>
    <n v="0"/>
  </r>
  <r>
    <x v="36"/>
    <x v="4"/>
    <x v="36"/>
    <x v="5"/>
    <x v="1"/>
    <x v="36"/>
    <s v="465 Main St"/>
    <x v="0"/>
    <x v="4"/>
    <x v="36"/>
    <n v="5"/>
    <x v="2"/>
    <x v="3"/>
    <x v="36"/>
    <n v="0"/>
  </r>
  <r>
    <x v="37"/>
    <x v="35"/>
    <x v="37"/>
    <x v="5"/>
    <x v="1"/>
    <x v="37"/>
    <s v="409 Main St"/>
    <x v="4"/>
    <x v="2"/>
    <x v="37"/>
    <n v="7"/>
    <x v="0"/>
    <x v="0"/>
    <x v="37"/>
    <n v="0"/>
  </r>
  <r>
    <x v="38"/>
    <x v="36"/>
    <x v="38"/>
    <x v="5"/>
    <x v="2"/>
    <x v="38"/>
    <s v="549 Main St"/>
    <x v="0"/>
    <x v="3"/>
    <x v="38"/>
    <n v="3"/>
    <x v="0"/>
    <x v="4"/>
    <x v="38"/>
    <n v="0"/>
  </r>
  <r>
    <x v="39"/>
    <x v="37"/>
    <x v="39"/>
    <x v="4"/>
    <x v="4"/>
    <x v="39"/>
    <s v="666 Main St"/>
    <x v="2"/>
    <x v="3"/>
    <x v="39"/>
    <n v="4"/>
    <x v="0"/>
    <x v="1"/>
    <x v="39"/>
    <n v="0"/>
  </r>
  <r>
    <x v="40"/>
    <x v="38"/>
    <x v="40"/>
    <x v="6"/>
    <x v="1"/>
    <x v="40"/>
    <s v="267 Main St"/>
    <x v="1"/>
    <x v="3"/>
    <x v="40"/>
    <n v="4"/>
    <x v="1"/>
    <x v="0"/>
    <x v="40"/>
    <n v="0"/>
  </r>
  <r>
    <x v="41"/>
    <x v="39"/>
    <x v="41"/>
    <x v="0"/>
    <x v="4"/>
    <x v="41"/>
    <s v="657 Main St"/>
    <x v="3"/>
    <x v="4"/>
    <x v="41"/>
    <n v="4"/>
    <x v="1"/>
    <x v="0"/>
    <x v="41"/>
    <n v="0"/>
  </r>
  <r>
    <x v="42"/>
    <x v="40"/>
    <x v="42"/>
    <x v="4"/>
    <x v="1"/>
    <x v="42"/>
    <s v="980 Main St"/>
    <x v="4"/>
    <x v="1"/>
    <x v="42"/>
    <n v="6"/>
    <x v="2"/>
    <x v="0"/>
    <x v="42"/>
    <n v="0"/>
  </r>
  <r>
    <x v="43"/>
    <x v="41"/>
    <x v="43"/>
    <x v="3"/>
    <x v="4"/>
    <x v="43"/>
    <s v="871 Main St"/>
    <x v="1"/>
    <x v="1"/>
    <x v="43"/>
    <n v="8"/>
    <x v="2"/>
    <x v="0"/>
    <x v="43"/>
    <n v="0"/>
  </r>
  <r>
    <x v="44"/>
    <x v="42"/>
    <x v="44"/>
    <x v="1"/>
    <x v="1"/>
    <x v="44"/>
    <s v="996 Main St"/>
    <x v="3"/>
    <x v="2"/>
    <x v="44"/>
    <n v="3"/>
    <x v="1"/>
    <x v="1"/>
    <x v="44"/>
    <n v="0"/>
  </r>
  <r>
    <x v="45"/>
    <x v="43"/>
    <x v="45"/>
    <x v="3"/>
    <x v="2"/>
    <x v="45"/>
    <s v="157 Main St"/>
    <x v="0"/>
    <x v="2"/>
    <x v="45"/>
    <n v="1"/>
    <x v="0"/>
    <x v="3"/>
    <x v="45"/>
    <n v="0"/>
  </r>
  <r>
    <x v="46"/>
    <x v="44"/>
    <x v="46"/>
    <x v="0"/>
    <x v="3"/>
    <x v="46"/>
    <s v="223 Main St"/>
    <x v="0"/>
    <x v="4"/>
    <x v="46"/>
    <n v="4"/>
    <x v="1"/>
    <x v="0"/>
    <x v="46"/>
    <n v="0"/>
  </r>
  <r>
    <x v="47"/>
    <x v="45"/>
    <x v="47"/>
    <x v="6"/>
    <x v="1"/>
    <x v="47"/>
    <s v="323 Main St"/>
    <x v="2"/>
    <x v="2"/>
    <x v="47"/>
    <n v="3"/>
    <x v="1"/>
    <x v="2"/>
    <x v="47"/>
    <n v="0"/>
  </r>
  <r>
    <x v="48"/>
    <x v="46"/>
    <x v="48"/>
    <x v="0"/>
    <x v="1"/>
    <x v="48"/>
    <s v="464 Main St"/>
    <x v="0"/>
    <x v="0"/>
    <x v="48"/>
    <n v="4"/>
    <x v="2"/>
    <x v="4"/>
    <x v="48"/>
    <n v="0"/>
  </r>
  <r>
    <x v="49"/>
    <x v="47"/>
    <x v="49"/>
    <x v="4"/>
    <x v="2"/>
    <x v="49"/>
    <s v="633 Main St"/>
    <x v="2"/>
    <x v="0"/>
    <x v="49"/>
    <n v="1"/>
    <x v="0"/>
    <x v="2"/>
    <x v="49"/>
    <n v="0"/>
  </r>
  <r>
    <x v="50"/>
    <x v="48"/>
    <x v="50"/>
    <x v="2"/>
    <x v="2"/>
    <x v="50"/>
    <s v="446 Main St"/>
    <x v="1"/>
    <x v="1"/>
    <x v="50"/>
    <n v="6"/>
    <x v="1"/>
    <x v="0"/>
    <x v="50"/>
    <n v="0"/>
  </r>
  <r>
    <x v="51"/>
    <x v="49"/>
    <x v="51"/>
    <x v="2"/>
    <x v="2"/>
    <x v="51"/>
    <s v="434 Main St"/>
    <x v="4"/>
    <x v="2"/>
    <x v="51"/>
    <n v="2"/>
    <x v="0"/>
    <x v="3"/>
    <x v="51"/>
    <n v="0"/>
  </r>
  <r>
    <x v="52"/>
    <x v="50"/>
    <x v="52"/>
    <x v="2"/>
    <x v="2"/>
    <x v="52"/>
    <s v="232 Main St"/>
    <x v="1"/>
    <x v="2"/>
    <x v="52"/>
    <n v="5"/>
    <x v="0"/>
    <x v="3"/>
    <x v="52"/>
    <n v="0"/>
  </r>
  <r>
    <x v="53"/>
    <x v="51"/>
    <x v="53"/>
    <x v="1"/>
    <x v="3"/>
    <x v="53"/>
    <s v="512 Main St"/>
    <x v="1"/>
    <x v="2"/>
    <x v="53"/>
    <n v="5"/>
    <x v="1"/>
    <x v="4"/>
    <x v="53"/>
    <n v="0"/>
  </r>
  <r>
    <x v="54"/>
    <x v="52"/>
    <x v="54"/>
    <x v="3"/>
    <x v="2"/>
    <x v="54"/>
    <s v="623 Main St"/>
    <x v="1"/>
    <x v="4"/>
    <x v="54"/>
    <n v="5"/>
    <x v="3"/>
    <x v="2"/>
    <x v="54"/>
    <n v="0"/>
  </r>
  <r>
    <x v="55"/>
    <x v="53"/>
    <x v="55"/>
    <x v="4"/>
    <x v="4"/>
    <x v="55"/>
    <s v="565 Main St"/>
    <x v="1"/>
    <x v="1"/>
    <x v="55"/>
    <n v="3"/>
    <x v="2"/>
    <x v="3"/>
    <x v="55"/>
    <n v="0"/>
  </r>
  <r>
    <x v="56"/>
    <x v="54"/>
    <x v="56"/>
    <x v="2"/>
    <x v="4"/>
    <x v="56"/>
    <s v="566 Main St"/>
    <x v="4"/>
    <x v="1"/>
    <x v="56"/>
    <n v="5"/>
    <x v="3"/>
    <x v="1"/>
    <x v="56"/>
    <n v="0"/>
  </r>
  <r>
    <x v="57"/>
    <x v="55"/>
    <x v="57"/>
    <x v="4"/>
    <x v="0"/>
    <x v="57"/>
    <s v="842 Main St"/>
    <x v="4"/>
    <x v="2"/>
    <x v="57"/>
    <n v="6"/>
    <x v="0"/>
    <x v="0"/>
    <x v="57"/>
    <n v="0"/>
  </r>
  <r>
    <x v="58"/>
    <x v="56"/>
    <x v="58"/>
    <x v="1"/>
    <x v="3"/>
    <x v="58"/>
    <s v="202 Main St"/>
    <x v="3"/>
    <x v="1"/>
    <x v="58"/>
    <n v="6"/>
    <x v="0"/>
    <x v="4"/>
    <x v="58"/>
    <n v="0"/>
  </r>
  <r>
    <x v="59"/>
    <x v="57"/>
    <x v="59"/>
    <x v="3"/>
    <x v="3"/>
    <x v="59"/>
    <s v="811 Main St"/>
    <x v="1"/>
    <x v="0"/>
    <x v="59"/>
    <n v="5"/>
    <x v="2"/>
    <x v="3"/>
    <x v="59"/>
    <n v="0"/>
  </r>
  <r>
    <x v="60"/>
    <x v="58"/>
    <x v="60"/>
    <x v="6"/>
    <x v="2"/>
    <x v="60"/>
    <s v="634 Main St"/>
    <x v="0"/>
    <x v="2"/>
    <x v="60"/>
    <n v="3"/>
    <x v="1"/>
    <x v="1"/>
    <x v="60"/>
    <n v="0"/>
  </r>
  <r>
    <x v="61"/>
    <x v="59"/>
    <x v="61"/>
    <x v="6"/>
    <x v="3"/>
    <x v="61"/>
    <s v="104 Main St"/>
    <x v="4"/>
    <x v="3"/>
    <x v="61"/>
    <n v="7"/>
    <x v="1"/>
    <x v="3"/>
    <x v="61"/>
    <n v="0"/>
  </r>
  <r>
    <x v="62"/>
    <x v="60"/>
    <x v="62"/>
    <x v="6"/>
    <x v="1"/>
    <x v="62"/>
    <s v="691 Main St"/>
    <x v="0"/>
    <x v="4"/>
    <x v="62"/>
    <n v="3"/>
    <x v="3"/>
    <x v="2"/>
    <x v="62"/>
    <n v="0"/>
  </r>
  <r>
    <x v="63"/>
    <x v="61"/>
    <x v="63"/>
    <x v="3"/>
    <x v="2"/>
    <x v="63"/>
    <s v="813 Main St"/>
    <x v="0"/>
    <x v="0"/>
    <x v="63"/>
    <n v="6"/>
    <x v="3"/>
    <x v="1"/>
    <x v="63"/>
    <n v="0"/>
  </r>
  <r>
    <x v="64"/>
    <x v="62"/>
    <x v="64"/>
    <x v="4"/>
    <x v="4"/>
    <x v="64"/>
    <s v="752 Main St"/>
    <x v="0"/>
    <x v="1"/>
    <x v="64"/>
    <n v="4"/>
    <x v="1"/>
    <x v="3"/>
    <x v="64"/>
    <n v="0"/>
  </r>
  <r>
    <x v="65"/>
    <x v="63"/>
    <x v="65"/>
    <x v="0"/>
    <x v="0"/>
    <x v="65"/>
    <s v="385 Main St"/>
    <x v="2"/>
    <x v="3"/>
    <x v="65"/>
    <n v="6"/>
    <x v="2"/>
    <x v="0"/>
    <x v="65"/>
    <n v="0"/>
  </r>
  <r>
    <x v="66"/>
    <x v="64"/>
    <x v="66"/>
    <x v="3"/>
    <x v="0"/>
    <x v="66"/>
    <s v="715 Main St"/>
    <x v="4"/>
    <x v="1"/>
    <x v="66"/>
    <n v="9"/>
    <x v="0"/>
    <x v="1"/>
    <x v="66"/>
    <n v="0"/>
  </r>
  <r>
    <x v="67"/>
    <x v="65"/>
    <x v="67"/>
    <x v="4"/>
    <x v="3"/>
    <x v="67"/>
    <s v="440 Main St"/>
    <x v="0"/>
    <x v="1"/>
    <x v="67"/>
    <n v="8"/>
    <x v="2"/>
    <x v="4"/>
    <x v="67"/>
    <n v="0"/>
  </r>
  <r>
    <x v="68"/>
    <x v="66"/>
    <x v="68"/>
    <x v="3"/>
    <x v="4"/>
    <x v="68"/>
    <s v="709 Main St"/>
    <x v="2"/>
    <x v="4"/>
    <x v="68"/>
    <n v="5"/>
    <x v="1"/>
    <x v="2"/>
    <x v="68"/>
    <n v="0"/>
  </r>
  <r>
    <x v="69"/>
    <x v="67"/>
    <x v="69"/>
    <x v="0"/>
    <x v="4"/>
    <x v="69"/>
    <s v="552 Main St"/>
    <x v="1"/>
    <x v="0"/>
    <x v="69"/>
    <n v="4"/>
    <x v="2"/>
    <x v="1"/>
    <x v="69"/>
    <n v="0"/>
  </r>
  <r>
    <x v="70"/>
    <x v="68"/>
    <x v="70"/>
    <x v="6"/>
    <x v="2"/>
    <x v="70"/>
    <s v="384 Main St"/>
    <x v="3"/>
    <x v="4"/>
    <x v="70"/>
    <n v="2"/>
    <x v="1"/>
    <x v="0"/>
    <x v="70"/>
    <n v="0"/>
  </r>
  <r>
    <x v="71"/>
    <x v="69"/>
    <x v="71"/>
    <x v="0"/>
    <x v="4"/>
    <x v="71"/>
    <s v="923 Main St"/>
    <x v="2"/>
    <x v="4"/>
    <x v="71"/>
    <n v="4"/>
    <x v="2"/>
    <x v="1"/>
    <x v="71"/>
    <n v="0"/>
  </r>
  <r>
    <x v="72"/>
    <x v="70"/>
    <x v="72"/>
    <x v="2"/>
    <x v="3"/>
    <x v="72"/>
    <s v="942 Main St"/>
    <x v="3"/>
    <x v="2"/>
    <x v="72"/>
    <n v="5"/>
    <x v="2"/>
    <x v="3"/>
    <x v="72"/>
    <n v="0"/>
  </r>
  <r>
    <x v="73"/>
    <x v="71"/>
    <x v="73"/>
    <x v="0"/>
    <x v="3"/>
    <x v="73"/>
    <s v="129 Main St"/>
    <x v="3"/>
    <x v="1"/>
    <x v="73"/>
    <n v="4"/>
    <x v="2"/>
    <x v="3"/>
    <x v="73"/>
    <n v="0"/>
  </r>
  <r>
    <x v="74"/>
    <x v="72"/>
    <x v="74"/>
    <x v="1"/>
    <x v="0"/>
    <x v="74"/>
    <s v="622 Main St"/>
    <x v="4"/>
    <x v="4"/>
    <x v="74"/>
    <n v="5"/>
    <x v="2"/>
    <x v="0"/>
    <x v="74"/>
    <n v="0"/>
  </r>
  <r>
    <x v="75"/>
    <x v="73"/>
    <x v="75"/>
    <x v="2"/>
    <x v="4"/>
    <x v="75"/>
    <s v="917 Main St"/>
    <x v="0"/>
    <x v="3"/>
    <x v="75"/>
    <n v="5"/>
    <x v="0"/>
    <x v="2"/>
    <x v="75"/>
    <n v="0"/>
  </r>
  <r>
    <x v="76"/>
    <x v="74"/>
    <x v="76"/>
    <x v="5"/>
    <x v="3"/>
    <x v="76"/>
    <s v="239 Main St"/>
    <x v="4"/>
    <x v="1"/>
    <x v="76"/>
    <n v="6"/>
    <x v="3"/>
    <x v="2"/>
    <x v="76"/>
    <n v="0"/>
  </r>
  <r>
    <x v="77"/>
    <x v="75"/>
    <x v="77"/>
    <x v="1"/>
    <x v="2"/>
    <x v="77"/>
    <s v="348 Main St"/>
    <x v="2"/>
    <x v="2"/>
    <x v="77"/>
    <n v="5"/>
    <x v="2"/>
    <x v="4"/>
    <x v="77"/>
    <n v="0"/>
  </r>
  <r>
    <x v="78"/>
    <x v="76"/>
    <x v="78"/>
    <x v="4"/>
    <x v="3"/>
    <x v="78"/>
    <s v="146 Main St"/>
    <x v="0"/>
    <x v="3"/>
    <x v="78"/>
    <n v="4"/>
    <x v="1"/>
    <x v="0"/>
    <x v="78"/>
    <n v="0"/>
  </r>
  <r>
    <x v="79"/>
    <x v="77"/>
    <x v="79"/>
    <x v="2"/>
    <x v="1"/>
    <x v="79"/>
    <s v="103 Main St"/>
    <x v="1"/>
    <x v="0"/>
    <x v="79"/>
    <n v="2"/>
    <x v="2"/>
    <x v="3"/>
    <x v="79"/>
    <n v="0"/>
  </r>
  <r>
    <x v="80"/>
    <x v="78"/>
    <x v="80"/>
    <x v="1"/>
    <x v="4"/>
    <x v="80"/>
    <s v="591 Main St"/>
    <x v="1"/>
    <x v="2"/>
    <x v="80"/>
    <n v="6"/>
    <x v="2"/>
    <x v="3"/>
    <x v="80"/>
    <n v="0"/>
  </r>
  <r>
    <x v="81"/>
    <x v="79"/>
    <x v="81"/>
    <x v="0"/>
    <x v="1"/>
    <x v="81"/>
    <s v="496 Main St"/>
    <x v="4"/>
    <x v="0"/>
    <x v="81"/>
    <n v="6"/>
    <x v="1"/>
    <x v="2"/>
    <x v="81"/>
    <n v="0"/>
  </r>
  <r>
    <x v="82"/>
    <x v="80"/>
    <x v="82"/>
    <x v="2"/>
    <x v="3"/>
    <x v="82"/>
    <s v="971 Main St"/>
    <x v="0"/>
    <x v="0"/>
    <x v="82"/>
    <n v="9"/>
    <x v="0"/>
    <x v="4"/>
    <x v="82"/>
    <n v="0"/>
  </r>
  <r>
    <x v="83"/>
    <x v="60"/>
    <x v="83"/>
    <x v="5"/>
    <x v="3"/>
    <x v="83"/>
    <s v="989 Main St"/>
    <x v="2"/>
    <x v="1"/>
    <x v="83"/>
    <n v="6"/>
    <x v="2"/>
    <x v="1"/>
    <x v="83"/>
    <n v="0"/>
  </r>
  <r>
    <x v="84"/>
    <x v="81"/>
    <x v="84"/>
    <x v="0"/>
    <x v="1"/>
    <x v="84"/>
    <s v="967 Main St"/>
    <x v="1"/>
    <x v="0"/>
    <x v="84"/>
    <n v="4"/>
    <x v="3"/>
    <x v="0"/>
    <x v="84"/>
    <n v="0"/>
  </r>
  <r>
    <x v="85"/>
    <x v="82"/>
    <x v="85"/>
    <x v="2"/>
    <x v="4"/>
    <x v="85"/>
    <s v="768 Main St"/>
    <x v="4"/>
    <x v="3"/>
    <x v="85"/>
    <n v="8"/>
    <x v="1"/>
    <x v="2"/>
    <x v="85"/>
    <n v="0"/>
  </r>
  <r>
    <x v="86"/>
    <x v="83"/>
    <x v="86"/>
    <x v="4"/>
    <x v="0"/>
    <x v="86"/>
    <s v="447 Main St"/>
    <x v="1"/>
    <x v="1"/>
    <x v="86"/>
    <n v="5"/>
    <x v="1"/>
    <x v="1"/>
    <x v="86"/>
    <n v="0"/>
  </r>
  <r>
    <x v="87"/>
    <x v="84"/>
    <x v="87"/>
    <x v="2"/>
    <x v="4"/>
    <x v="87"/>
    <s v="915 Main St"/>
    <x v="4"/>
    <x v="0"/>
    <x v="87"/>
    <n v="4"/>
    <x v="0"/>
    <x v="3"/>
    <x v="87"/>
    <n v="0"/>
  </r>
  <r>
    <x v="88"/>
    <x v="85"/>
    <x v="88"/>
    <x v="6"/>
    <x v="4"/>
    <x v="88"/>
    <s v="318 Main St"/>
    <x v="3"/>
    <x v="1"/>
    <x v="88"/>
    <n v="7"/>
    <x v="2"/>
    <x v="4"/>
    <x v="88"/>
    <n v="0"/>
  </r>
  <r>
    <x v="89"/>
    <x v="86"/>
    <x v="89"/>
    <x v="4"/>
    <x v="0"/>
    <x v="89"/>
    <s v="291 Main St"/>
    <x v="2"/>
    <x v="1"/>
    <x v="89"/>
    <n v="8"/>
    <x v="1"/>
    <x v="4"/>
    <x v="89"/>
    <n v="0"/>
  </r>
  <r>
    <x v="90"/>
    <x v="87"/>
    <x v="90"/>
    <x v="3"/>
    <x v="3"/>
    <x v="90"/>
    <s v="611 Main St"/>
    <x v="3"/>
    <x v="3"/>
    <x v="90"/>
    <n v="4"/>
    <x v="0"/>
    <x v="2"/>
    <x v="90"/>
    <n v="0"/>
  </r>
  <r>
    <x v="91"/>
    <x v="88"/>
    <x v="91"/>
    <x v="5"/>
    <x v="0"/>
    <x v="91"/>
    <s v="196 Main St"/>
    <x v="4"/>
    <x v="0"/>
    <x v="91"/>
    <n v="6"/>
    <x v="3"/>
    <x v="1"/>
    <x v="91"/>
    <n v="0"/>
  </r>
  <r>
    <x v="92"/>
    <x v="89"/>
    <x v="92"/>
    <x v="4"/>
    <x v="3"/>
    <x v="92"/>
    <s v="203 Main St"/>
    <x v="1"/>
    <x v="0"/>
    <x v="92"/>
    <n v="7"/>
    <x v="1"/>
    <x v="3"/>
    <x v="92"/>
    <n v="0"/>
  </r>
  <r>
    <x v="93"/>
    <x v="90"/>
    <x v="93"/>
    <x v="6"/>
    <x v="3"/>
    <x v="93"/>
    <s v="837 Main St"/>
    <x v="2"/>
    <x v="2"/>
    <x v="93"/>
    <n v="7"/>
    <x v="2"/>
    <x v="1"/>
    <x v="93"/>
    <n v="0"/>
  </r>
  <r>
    <x v="94"/>
    <x v="91"/>
    <x v="94"/>
    <x v="3"/>
    <x v="2"/>
    <x v="94"/>
    <s v="781 Main St"/>
    <x v="3"/>
    <x v="2"/>
    <x v="94"/>
    <n v="6"/>
    <x v="3"/>
    <x v="0"/>
    <x v="94"/>
    <n v="0"/>
  </r>
  <r>
    <x v="95"/>
    <x v="92"/>
    <x v="95"/>
    <x v="4"/>
    <x v="3"/>
    <x v="95"/>
    <s v="839 Main St"/>
    <x v="0"/>
    <x v="2"/>
    <x v="95"/>
    <n v="7"/>
    <x v="2"/>
    <x v="1"/>
    <x v="95"/>
    <n v="0"/>
  </r>
  <r>
    <x v="96"/>
    <x v="93"/>
    <x v="96"/>
    <x v="1"/>
    <x v="1"/>
    <x v="96"/>
    <s v="103 Main St"/>
    <x v="3"/>
    <x v="3"/>
    <x v="96"/>
    <n v="7"/>
    <x v="2"/>
    <x v="0"/>
    <x v="96"/>
    <n v="0"/>
  </r>
  <r>
    <x v="97"/>
    <x v="94"/>
    <x v="97"/>
    <x v="2"/>
    <x v="0"/>
    <x v="97"/>
    <s v="922 Main St"/>
    <x v="0"/>
    <x v="4"/>
    <x v="97"/>
    <n v="9"/>
    <x v="2"/>
    <x v="2"/>
    <x v="97"/>
    <n v="0"/>
  </r>
  <r>
    <x v="98"/>
    <x v="90"/>
    <x v="98"/>
    <x v="4"/>
    <x v="1"/>
    <x v="98"/>
    <s v="533 Main St"/>
    <x v="0"/>
    <x v="4"/>
    <x v="98"/>
    <n v="3"/>
    <x v="2"/>
    <x v="2"/>
    <x v="98"/>
    <n v="0"/>
  </r>
  <r>
    <x v="99"/>
    <x v="95"/>
    <x v="99"/>
    <x v="4"/>
    <x v="2"/>
    <x v="99"/>
    <s v="717 Main St"/>
    <x v="0"/>
    <x v="1"/>
    <x v="99"/>
    <n v="2"/>
    <x v="3"/>
    <x v="2"/>
    <x v="99"/>
    <n v="0"/>
  </r>
  <r>
    <x v="100"/>
    <x v="96"/>
    <x v="100"/>
    <x v="1"/>
    <x v="4"/>
    <x v="100"/>
    <s v="743 Main St"/>
    <x v="1"/>
    <x v="3"/>
    <x v="100"/>
    <n v="6"/>
    <x v="2"/>
    <x v="3"/>
    <x v="100"/>
    <n v="0"/>
  </r>
  <r>
    <x v="101"/>
    <x v="97"/>
    <x v="101"/>
    <x v="4"/>
    <x v="2"/>
    <x v="101"/>
    <s v="152 Main St"/>
    <x v="4"/>
    <x v="0"/>
    <x v="101"/>
    <n v="6"/>
    <x v="2"/>
    <x v="4"/>
    <x v="101"/>
    <n v="0"/>
  </r>
  <r>
    <x v="102"/>
    <x v="98"/>
    <x v="102"/>
    <x v="5"/>
    <x v="1"/>
    <x v="102"/>
    <s v="944 Main St"/>
    <x v="3"/>
    <x v="1"/>
    <x v="102"/>
    <n v="3"/>
    <x v="1"/>
    <x v="2"/>
    <x v="102"/>
    <n v="0"/>
  </r>
  <r>
    <x v="103"/>
    <x v="99"/>
    <x v="103"/>
    <x v="1"/>
    <x v="3"/>
    <x v="103"/>
    <s v="514 Main St"/>
    <x v="2"/>
    <x v="1"/>
    <x v="103"/>
    <n v="9"/>
    <x v="0"/>
    <x v="2"/>
    <x v="103"/>
    <n v="0"/>
  </r>
  <r>
    <x v="104"/>
    <x v="100"/>
    <x v="104"/>
    <x v="1"/>
    <x v="2"/>
    <x v="104"/>
    <s v="647 Main St"/>
    <x v="3"/>
    <x v="3"/>
    <x v="104"/>
    <n v="1"/>
    <x v="1"/>
    <x v="2"/>
    <x v="104"/>
    <n v="0"/>
  </r>
  <r>
    <x v="105"/>
    <x v="101"/>
    <x v="105"/>
    <x v="4"/>
    <x v="4"/>
    <x v="105"/>
    <s v="810 Main St"/>
    <x v="3"/>
    <x v="1"/>
    <x v="105"/>
    <n v="7"/>
    <x v="2"/>
    <x v="3"/>
    <x v="105"/>
    <n v="0"/>
  </r>
  <r>
    <x v="106"/>
    <x v="102"/>
    <x v="106"/>
    <x v="6"/>
    <x v="4"/>
    <x v="106"/>
    <s v="126 Main St"/>
    <x v="2"/>
    <x v="1"/>
    <x v="106"/>
    <n v="3"/>
    <x v="0"/>
    <x v="2"/>
    <x v="106"/>
    <n v="0"/>
  </r>
  <r>
    <x v="107"/>
    <x v="14"/>
    <x v="107"/>
    <x v="4"/>
    <x v="0"/>
    <x v="107"/>
    <s v="848 Main St"/>
    <x v="3"/>
    <x v="0"/>
    <x v="107"/>
    <n v="8"/>
    <x v="1"/>
    <x v="0"/>
    <x v="107"/>
    <n v="0"/>
  </r>
  <r>
    <x v="108"/>
    <x v="103"/>
    <x v="108"/>
    <x v="5"/>
    <x v="0"/>
    <x v="108"/>
    <s v="522 Main St"/>
    <x v="3"/>
    <x v="3"/>
    <x v="108"/>
    <n v="9"/>
    <x v="3"/>
    <x v="2"/>
    <x v="108"/>
    <n v="0"/>
  </r>
  <r>
    <x v="109"/>
    <x v="104"/>
    <x v="109"/>
    <x v="6"/>
    <x v="4"/>
    <x v="109"/>
    <s v="131 Main St"/>
    <x v="3"/>
    <x v="0"/>
    <x v="109"/>
    <n v="3"/>
    <x v="1"/>
    <x v="1"/>
    <x v="109"/>
    <n v="0"/>
  </r>
  <r>
    <x v="110"/>
    <x v="105"/>
    <x v="110"/>
    <x v="2"/>
    <x v="2"/>
    <x v="110"/>
    <s v="388 Main St"/>
    <x v="3"/>
    <x v="4"/>
    <x v="110"/>
    <n v="5"/>
    <x v="1"/>
    <x v="0"/>
    <x v="110"/>
    <n v="0"/>
  </r>
  <r>
    <x v="111"/>
    <x v="106"/>
    <x v="111"/>
    <x v="6"/>
    <x v="4"/>
    <x v="111"/>
    <s v="620 Main St"/>
    <x v="1"/>
    <x v="1"/>
    <x v="111"/>
    <n v="7"/>
    <x v="1"/>
    <x v="4"/>
    <x v="111"/>
    <n v="0"/>
  </r>
  <r>
    <x v="112"/>
    <x v="107"/>
    <x v="112"/>
    <x v="0"/>
    <x v="2"/>
    <x v="112"/>
    <s v="423 Main St"/>
    <x v="1"/>
    <x v="1"/>
    <x v="112"/>
    <n v="2"/>
    <x v="3"/>
    <x v="1"/>
    <x v="112"/>
    <n v="0"/>
  </r>
  <r>
    <x v="113"/>
    <x v="108"/>
    <x v="113"/>
    <x v="5"/>
    <x v="0"/>
    <x v="113"/>
    <s v="605 Main St"/>
    <x v="4"/>
    <x v="0"/>
    <x v="113"/>
    <n v="9"/>
    <x v="1"/>
    <x v="0"/>
    <x v="113"/>
    <n v="0"/>
  </r>
  <r>
    <x v="114"/>
    <x v="109"/>
    <x v="114"/>
    <x v="0"/>
    <x v="0"/>
    <x v="114"/>
    <s v="115 Main St"/>
    <x v="1"/>
    <x v="4"/>
    <x v="114"/>
    <n v="8"/>
    <x v="0"/>
    <x v="4"/>
    <x v="114"/>
    <n v="0"/>
  </r>
  <r>
    <x v="115"/>
    <x v="110"/>
    <x v="115"/>
    <x v="1"/>
    <x v="0"/>
    <x v="115"/>
    <s v="122 Main St"/>
    <x v="1"/>
    <x v="0"/>
    <x v="115"/>
    <n v="9"/>
    <x v="0"/>
    <x v="3"/>
    <x v="115"/>
    <n v="0"/>
  </r>
  <r>
    <x v="116"/>
    <x v="111"/>
    <x v="116"/>
    <x v="4"/>
    <x v="3"/>
    <x v="116"/>
    <s v="109 Main St"/>
    <x v="2"/>
    <x v="1"/>
    <x v="116"/>
    <n v="6"/>
    <x v="3"/>
    <x v="3"/>
    <x v="116"/>
    <n v="0"/>
  </r>
  <r>
    <x v="117"/>
    <x v="98"/>
    <x v="117"/>
    <x v="2"/>
    <x v="2"/>
    <x v="117"/>
    <s v="593 Main St"/>
    <x v="3"/>
    <x v="1"/>
    <x v="117"/>
    <n v="5"/>
    <x v="3"/>
    <x v="1"/>
    <x v="117"/>
    <n v="0"/>
  </r>
  <r>
    <x v="118"/>
    <x v="112"/>
    <x v="118"/>
    <x v="4"/>
    <x v="0"/>
    <x v="118"/>
    <s v="807 Main St"/>
    <x v="3"/>
    <x v="0"/>
    <x v="118"/>
    <n v="7"/>
    <x v="1"/>
    <x v="4"/>
    <x v="118"/>
    <n v="0"/>
  </r>
  <r>
    <x v="119"/>
    <x v="113"/>
    <x v="119"/>
    <x v="6"/>
    <x v="1"/>
    <x v="119"/>
    <s v="187 Main St"/>
    <x v="0"/>
    <x v="0"/>
    <x v="119"/>
    <n v="7"/>
    <x v="1"/>
    <x v="1"/>
    <x v="119"/>
    <n v="0"/>
  </r>
  <r>
    <x v="120"/>
    <x v="114"/>
    <x v="120"/>
    <x v="2"/>
    <x v="3"/>
    <x v="120"/>
    <s v="986 Main St"/>
    <x v="4"/>
    <x v="1"/>
    <x v="120"/>
    <n v="4"/>
    <x v="3"/>
    <x v="0"/>
    <x v="120"/>
    <n v="0"/>
  </r>
  <r>
    <x v="121"/>
    <x v="115"/>
    <x v="121"/>
    <x v="6"/>
    <x v="2"/>
    <x v="121"/>
    <s v="673 Main St"/>
    <x v="4"/>
    <x v="1"/>
    <x v="121"/>
    <n v="1"/>
    <x v="1"/>
    <x v="0"/>
    <x v="121"/>
    <n v="0"/>
  </r>
  <r>
    <x v="122"/>
    <x v="116"/>
    <x v="122"/>
    <x v="5"/>
    <x v="1"/>
    <x v="122"/>
    <s v="588 Main St"/>
    <x v="3"/>
    <x v="0"/>
    <x v="122"/>
    <n v="2"/>
    <x v="2"/>
    <x v="3"/>
    <x v="122"/>
    <n v="0"/>
  </r>
  <r>
    <x v="123"/>
    <x v="117"/>
    <x v="123"/>
    <x v="6"/>
    <x v="4"/>
    <x v="123"/>
    <s v="727 Main St"/>
    <x v="1"/>
    <x v="3"/>
    <x v="123"/>
    <n v="5"/>
    <x v="2"/>
    <x v="0"/>
    <x v="123"/>
    <n v="0"/>
  </r>
  <r>
    <x v="124"/>
    <x v="118"/>
    <x v="124"/>
    <x v="4"/>
    <x v="3"/>
    <x v="124"/>
    <s v="563 Main St"/>
    <x v="1"/>
    <x v="4"/>
    <x v="124"/>
    <n v="8"/>
    <x v="2"/>
    <x v="4"/>
    <x v="124"/>
    <n v="0"/>
  </r>
  <r>
    <x v="125"/>
    <x v="119"/>
    <x v="125"/>
    <x v="1"/>
    <x v="1"/>
    <x v="125"/>
    <s v="758 Main St"/>
    <x v="2"/>
    <x v="0"/>
    <x v="125"/>
    <n v="5"/>
    <x v="0"/>
    <x v="2"/>
    <x v="125"/>
    <n v="0"/>
  </r>
  <r>
    <x v="126"/>
    <x v="120"/>
    <x v="126"/>
    <x v="6"/>
    <x v="3"/>
    <x v="126"/>
    <s v="353 Main St"/>
    <x v="3"/>
    <x v="0"/>
    <x v="126"/>
    <n v="8"/>
    <x v="1"/>
    <x v="4"/>
    <x v="126"/>
    <n v="0"/>
  </r>
  <r>
    <x v="127"/>
    <x v="121"/>
    <x v="127"/>
    <x v="6"/>
    <x v="4"/>
    <x v="127"/>
    <s v="365 Main St"/>
    <x v="0"/>
    <x v="0"/>
    <x v="127"/>
    <n v="3"/>
    <x v="2"/>
    <x v="4"/>
    <x v="127"/>
    <n v="0"/>
  </r>
  <r>
    <x v="128"/>
    <x v="96"/>
    <x v="128"/>
    <x v="2"/>
    <x v="3"/>
    <x v="128"/>
    <s v="244 Main St"/>
    <x v="3"/>
    <x v="3"/>
    <x v="128"/>
    <n v="4"/>
    <x v="1"/>
    <x v="4"/>
    <x v="128"/>
    <n v="0"/>
  </r>
  <r>
    <x v="129"/>
    <x v="122"/>
    <x v="129"/>
    <x v="5"/>
    <x v="3"/>
    <x v="129"/>
    <s v="427 Main St"/>
    <x v="0"/>
    <x v="0"/>
    <x v="129"/>
    <n v="4"/>
    <x v="1"/>
    <x v="3"/>
    <x v="129"/>
    <n v="0"/>
  </r>
  <r>
    <x v="130"/>
    <x v="123"/>
    <x v="130"/>
    <x v="6"/>
    <x v="4"/>
    <x v="130"/>
    <s v="513 Main St"/>
    <x v="1"/>
    <x v="1"/>
    <x v="130"/>
    <n v="3"/>
    <x v="3"/>
    <x v="3"/>
    <x v="130"/>
    <n v="0"/>
  </r>
  <r>
    <x v="131"/>
    <x v="124"/>
    <x v="131"/>
    <x v="2"/>
    <x v="2"/>
    <x v="131"/>
    <s v="606 Main St"/>
    <x v="3"/>
    <x v="4"/>
    <x v="131"/>
    <n v="5"/>
    <x v="2"/>
    <x v="0"/>
    <x v="131"/>
    <n v="0"/>
  </r>
  <r>
    <x v="132"/>
    <x v="125"/>
    <x v="132"/>
    <x v="2"/>
    <x v="3"/>
    <x v="132"/>
    <s v="583 Main St"/>
    <x v="2"/>
    <x v="0"/>
    <x v="132"/>
    <n v="6"/>
    <x v="3"/>
    <x v="2"/>
    <x v="132"/>
    <n v="0"/>
  </r>
  <r>
    <x v="133"/>
    <x v="126"/>
    <x v="133"/>
    <x v="3"/>
    <x v="3"/>
    <x v="133"/>
    <s v="636 Main St"/>
    <x v="0"/>
    <x v="1"/>
    <x v="133"/>
    <n v="6"/>
    <x v="0"/>
    <x v="4"/>
    <x v="133"/>
    <n v="0"/>
  </r>
  <r>
    <x v="134"/>
    <x v="127"/>
    <x v="134"/>
    <x v="5"/>
    <x v="1"/>
    <x v="134"/>
    <s v="583 Main St"/>
    <x v="4"/>
    <x v="4"/>
    <x v="134"/>
    <n v="4"/>
    <x v="2"/>
    <x v="2"/>
    <x v="134"/>
    <n v="0"/>
  </r>
  <r>
    <x v="135"/>
    <x v="128"/>
    <x v="135"/>
    <x v="4"/>
    <x v="1"/>
    <x v="135"/>
    <s v="642 Main St"/>
    <x v="3"/>
    <x v="0"/>
    <x v="135"/>
    <n v="5"/>
    <x v="0"/>
    <x v="1"/>
    <x v="135"/>
    <n v="0"/>
  </r>
  <r>
    <x v="136"/>
    <x v="129"/>
    <x v="136"/>
    <x v="5"/>
    <x v="2"/>
    <x v="136"/>
    <s v="595 Main St"/>
    <x v="3"/>
    <x v="1"/>
    <x v="136"/>
    <n v="1"/>
    <x v="0"/>
    <x v="0"/>
    <x v="136"/>
    <n v="0"/>
  </r>
  <r>
    <x v="137"/>
    <x v="130"/>
    <x v="137"/>
    <x v="0"/>
    <x v="1"/>
    <x v="137"/>
    <s v="598 Main St"/>
    <x v="2"/>
    <x v="3"/>
    <x v="137"/>
    <n v="5"/>
    <x v="2"/>
    <x v="4"/>
    <x v="137"/>
    <n v="0"/>
  </r>
  <r>
    <x v="138"/>
    <x v="131"/>
    <x v="138"/>
    <x v="2"/>
    <x v="2"/>
    <x v="138"/>
    <s v="478 Main St"/>
    <x v="0"/>
    <x v="4"/>
    <x v="138"/>
    <n v="3"/>
    <x v="3"/>
    <x v="4"/>
    <x v="138"/>
    <n v="0"/>
  </r>
  <r>
    <x v="139"/>
    <x v="132"/>
    <x v="139"/>
    <x v="1"/>
    <x v="2"/>
    <x v="139"/>
    <s v="714 Main St"/>
    <x v="4"/>
    <x v="2"/>
    <x v="139"/>
    <n v="1"/>
    <x v="2"/>
    <x v="2"/>
    <x v="139"/>
    <n v="0"/>
  </r>
  <r>
    <x v="140"/>
    <x v="133"/>
    <x v="140"/>
    <x v="3"/>
    <x v="4"/>
    <x v="140"/>
    <s v="388 Main St"/>
    <x v="1"/>
    <x v="3"/>
    <x v="140"/>
    <n v="3"/>
    <x v="1"/>
    <x v="2"/>
    <x v="140"/>
    <n v="0"/>
  </r>
  <r>
    <x v="141"/>
    <x v="134"/>
    <x v="141"/>
    <x v="4"/>
    <x v="4"/>
    <x v="141"/>
    <s v="151 Main St"/>
    <x v="4"/>
    <x v="1"/>
    <x v="141"/>
    <n v="3"/>
    <x v="3"/>
    <x v="0"/>
    <x v="141"/>
    <n v="0"/>
  </r>
  <r>
    <x v="142"/>
    <x v="135"/>
    <x v="142"/>
    <x v="6"/>
    <x v="0"/>
    <x v="142"/>
    <s v="573 Main St"/>
    <x v="4"/>
    <x v="4"/>
    <x v="142"/>
    <n v="7"/>
    <x v="3"/>
    <x v="2"/>
    <x v="142"/>
    <n v="0"/>
  </r>
  <r>
    <x v="143"/>
    <x v="136"/>
    <x v="143"/>
    <x v="3"/>
    <x v="3"/>
    <x v="143"/>
    <s v="933 Main St"/>
    <x v="1"/>
    <x v="0"/>
    <x v="143"/>
    <n v="5"/>
    <x v="2"/>
    <x v="1"/>
    <x v="143"/>
    <n v="0"/>
  </r>
  <r>
    <x v="144"/>
    <x v="128"/>
    <x v="144"/>
    <x v="6"/>
    <x v="0"/>
    <x v="144"/>
    <s v="895 Main St"/>
    <x v="2"/>
    <x v="4"/>
    <x v="144"/>
    <n v="8"/>
    <x v="2"/>
    <x v="3"/>
    <x v="144"/>
    <n v="0"/>
  </r>
  <r>
    <x v="145"/>
    <x v="17"/>
    <x v="145"/>
    <x v="4"/>
    <x v="4"/>
    <x v="145"/>
    <s v="798 Main St"/>
    <x v="2"/>
    <x v="3"/>
    <x v="145"/>
    <n v="6"/>
    <x v="1"/>
    <x v="4"/>
    <x v="145"/>
    <n v="0"/>
  </r>
  <r>
    <x v="146"/>
    <x v="137"/>
    <x v="146"/>
    <x v="2"/>
    <x v="1"/>
    <x v="146"/>
    <s v="404 Main St"/>
    <x v="2"/>
    <x v="2"/>
    <x v="146"/>
    <n v="4"/>
    <x v="2"/>
    <x v="0"/>
    <x v="146"/>
    <n v="0"/>
  </r>
  <r>
    <x v="147"/>
    <x v="138"/>
    <x v="147"/>
    <x v="5"/>
    <x v="1"/>
    <x v="147"/>
    <s v="893 Main St"/>
    <x v="2"/>
    <x v="1"/>
    <x v="147"/>
    <n v="2"/>
    <x v="0"/>
    <x v="4"/>
    <x v="147"/>
    <n v="0"/>
  </r>
  <r>
    <x v="148"/>
    <x v="139"/>
    <x v="148"/>
    <x v="1"/>
    <x v="1"/>
    <x v="148"/>
    <s v="139 Main St"/>
    <x v="2"/>
    <x v="1"/>
    <x v="148"/>
    <n v="3"/>
    <x v="3"/>
    <x v="4"/>
    <x v="148"/>
    <n v="0"/>
  </r>
  <r>
    <x v="149"/>
    <x v="140"/>
    <x v="149"/>
    <x v="5"/>
    <x v="2"/>
    <x v="149"/>
    <s v="174 Main St"/>
    <x v="0"/>
    <x v="3"/>
    <x v="149"/>
    <n v="3"/>
    <x v="2"/>
    <x v="3"/>
    <x v="149"/>
    <n v="0"/>
  </r>
  <r>
    <x v="150"/>
    <x v="141"/>
    <x v="150"/>
    <x v="1"/>
    <x v="1"/>
    <x v="150"/>
    <s v="981 Main St"/>
    <x v="0"/>
    <x v="2"/>
    <x v="150"/>
    <n v="5"/>
    <x v="3"/>
    <x v="4"/>
    <x v="150"/>
    <n v="0"/>
  </r>
  <r>
    <x v="151"/>
    <x v="142"/>
    <x v="151"/>
    <x v="4"/>
    <x v="0"/>
    <x v="151"/>
    <s v="947 Main St"/>
    <x v="0"/>
    <x v="2"/>
    <x v="151"/>
    <n v="7"/>
    <x v="2"/>
    <x v="2"/>
    <x v="151"/>
    <n v="0"/>
  </r>
  <r>
    <x v="152"/>
    <x v="143"/>
    <x v="152"/>
    <x v="3"/>
    <x v="1"/>
    <x v="152"/>
    <s v="659 Main St"/>
    <x v="4"/>
    <x v="1"/>
    <x v="152"/>
    <n v="3"/>
    <x v="1"/>
    <x v="1"/>
    <x v="152"/>
    <n v="0"/>
  </r>
  <r>
    <x v="153"/>
    <x v="144"/>
    <x v="153"/>
    <x v="3"/>
    <x v="3"/>
    <x v="153"/>
    <s v="437 Main St"/>
    <x v="1"/>
    <x v="2"/>
    <x v="153"/>
    <n v="9"/>
    <x v="3"/>
    <x v="0"/>
    <x v="153"/>
    <n v="0"/>
  </r>
  <r>
    <x v="154"/>
    <x v="145"/>
    <x v="154"/>
    <x v="1"/>
    <x v="3"/>
    <x v="154"/>
    <s v="727 Main St"/>
    <x v="2"/>
    <x v="4"/>
    <x v="154"/>
    <n v="9"/>
    <x v="2"/>
    <x v="0"/>
    <x v="154"/>
    <n v="0"/>
  </r>
  <r>
    <x v="155"/>
    <x v="146"/>
    <x v="155"/>
    <x v="1"/>
    <x v="2"/>
    <x v="155"/>
    <s v="446 Main St"/>
    <x v="1"/>
    <x v="0"/>
    <x v="155"/>
    <n v="6"/>
    <x v="3"/>
    <x v="1"/>
    <x v="155"/>
    <n v="0"/>
  </r>
  <r>
    <x v="156"/>
    <x v="147"/>
    <x v="156"/>
    <x v="3"/>
    <x v="1"/>
    <x v="156"/>
    <s v="651 Main St"/>
    <x v="1"/>
    <x v="3"/>
    <x v="156"/>
    <n v="4"/>
    <x v="0"/>
    <x v="2"/>
    <x v="156"/>
    <n v="0"/>
  </r>
  <r>
    <x v="157"/>
    <x v="148"/>
    <x v="157"/>
    <x v="0"/>
    <x v="1"/>
    <x v="157"/>
    <s v="636 Main St"/>
    <x v="1"/>
    <x v="2"/>
    <x v="157"/>
    <n v="4"/>
    <x v="3"/>
    <x v="3"/>
    <x v="157"/>
    <n v="0"/>
  </r>
  <r>
    <x v="158"/>
    <x v="149"/>
    <x v="158"/>
    <x v="2"/>
    <x v="2"/>
    <x v="158"/>
    <s v="737 Main St"/>
    <x v="2"/>
    <x v="4"/>
    <x v="158"/>
    <n v="5"/>
    <x v="3"/>
    <x v="0"/>
    <x v="158"/>
    <n v="0"/>
  </r>
  <r>
    <x v="159"/>
    <x v="150"/>
    <x v="159"/>
    <x v="4"/>
    <x v="2"/>
    <x v="159"/>
    <s v="819 Main St"/>
    <x v="2"/>
    <x v="1"/>
    <x v="159"/>
    <n v="5"/>
    <x v="3"/>
    <x v="2"/>
    <x v="159"/>
    <n v="0"/>
  </r>
  <r>
    <x v="160"/>
    <x v="96"/>
    <x v="160"/>
    <x v="0"/>
    <x v="3"/>
    <x v="160"/>
    <s v="240 Main St"/>
    <x v="4"/>
    <x v="4"/>
    <x v="160"/>
    <n v="7"/>
    <x v="2"/>
    <x v="1"/>
    <x v="160"/>
    <n v="0"/>
  </r>
  <r>
    <x v="161"/>
    <x v="151"/>
    <x v="161"/>
    <x v="0"/>
    <x v="2"/>
    <x v="161"/>
    <s v="513 Main St"/>
    <x v="2"/>
    <x v="1"/>
    <x v="161"/>
    <n v="1"/>
    <x v="0"/>
    <x v="3"/>
    <x v="150"/>
    <n v="0"/>
  </r>
  <r>
    <x v="162"/>
    <x v="152"/>
    <x v="162"/>
    <x v="3"/>
    <x v="4"/>
    <x v="162"/>
    <s v="917 Main St"/>
    <x v="1"/>
    <x v="4"/>
    <x v="162"/>
    <n v="8"/>
    <x v="3"/>
    <x v="4"/>
    <x v="161"/>
    <n v="0"/>
  </r>
  <r>
    <x v="163"/>
    <x v="53"/>
    <x v="163"/>
    <x v="2"/>
    <x v="2"/>
    <x v="163"/>
    <s v="277 Main St"/>
    <x v="1"/>
    <x v="1"/>
    <x v="163"/>
    <n v="1"/>
    <x v="2"/>
    <x v="1"/>
    <x v="162"/>
    <n v="0"/>
  </r>
  <r>
    <x v="164"/>
    <x v="153"/>
    <x v="164"/>
    <x v="6"/>
    <x v="0"/>
    <x v="164"/>
    <s v="667 Main St"/>
    <x v="3"/>
    <x v="4"/>
    <x v="164"/>
    <n v="5"/>
    <x v="0"/>
    <x v="4"/>
    <x v="163"/>
    <n v="0"/>
  </r>
  <r>
    <x v="165"/>
    <x v="154"/>
    <x v="165"/>
    <x v="0"/>
    <x v="1"/>
    <x v="165"/>
    <s v="226 Main St"/>
    <x v="1"/>
    <x v="2"/>
    <x v="165"/>
    <n v="7"/>
    <x v="3"/>
    <x v="4"/>
    <x v="164"/>
    <n v="0"/>
  </r>
  <r>
    <x v="166"/>
    <x v="155"/>
    <x v="166"/>
    <x v="3"/>
    <x v="4"/>
    <x v="166"/>
    <s v="565 Main St"/>
    <x v="4"/>
    <x v="3"/>
    <x v="166"/>
    <n v="6"/>
    <x v="3"/>
    <x v="0"/>
    <x v="165"/>
    <n v="0"/>
  </r>
  <r>
    <x v="167"/>
    <x v="156"/>
    <x v="167"/>
    <x v="3"/>
    <x v="1"/>
    <x v="167"/>
    <s v="219 Main St"/>
    <x v="1"/>
    <x v="2"/>
    <x v="167"/>
    <n v="2"/>
    <x v="3"/>
    <x v="2"/>
    <x v="166"/>
    <n v="0"/>
  </r>
  <r>
    <x v="168"/>
    <x v="157"/>
    <x v="168"/>
    <x v="4"/>
    <x v="2"/>
    <x v="168"/>
    <s v="878 Main St"/>
    <x v="4"/>
    <x v="2"/>
    <x v="168"/>
    <n v="6"/>
    <x v="2"/>
    <x v="3"/>
    <x v="167"/>
    <n v="0"/>
  </r>
  <r>
    <x v="169"/>
    <x v="158"/>
    <x v="169"/>
    <x v="4"/>
    <x v="2"/>
    <x v="169"/>
    <s v="732 Main St"/>
    <x v="1"/>
    <x v="3"/>
    <x v="169"/>
    <n v="2"/>
    <x v="3"/>
    <x v="2"/>
    <x v="168"/>
    <n v="0"/>
  </r>
  <r>
    <x v="170"/>
    <x v="159"/>
    <x v="170"/>
    <x v="6"/>
    <x v="3"/>
    <x v="170"/>
    <s v="535 Main St"/>
    <x v="4"/>
    <x v="1"/>
    <x v="170"/>
    <n v="8"/>
    <x v="0"/>
    <x v="0"/>
    <x v="169"/>
    <n v="0"/>
  </r>
  <r>
    <x v="171"/>
    <x v="160"/>
    <x v="171"/>
    <x v="2"/>
    <x v="1"/>
    <x v="171"/>
    <s v="336 Main St"/>
    <x v="2"/>
    <x v="3"/>
    <x v="171"/>
    <n v="7"/>
    <x v="3"/>
    <x v="0"/>
    <x v="170"/>
    <n v="0"/>
  </r>
  <r>
    <x v="172"/>
    <x v="161"/>
    <x v="172"/>
    <x v="4"/>
    <x v="2"/>
    <x v="172"/>
    <s v="365 Main St"/>
    <x v="1"/>
    <x v="3"/>
    <x v="172"/>
    <n v="1"/>
    <x v="3"/>
    <x v="2"/>
    <x v="171"/>
    <n v="0"/>
  </r>
  <r>
    <x v="173"/>
    <x v="59"/>
    <x v="173"/>
    <x v="1"/>
    <x v="4"/>
    <x v="173"/>
    <s v="806 Main St"/>
    <x v="1"/>
    <x v="3"/>
    <x v="173"/>
    <n v="4"/>
    <x v="1"/>
    <x v="4"/>
    <x v="172"/>
    <n v="0"/>
  </r>
  <r>
    <x v="174"/>
    <x v="162"/>
    <x v="174"/>
    <x v="4"/>
    <x v="3"/>
    <x v="174"/>
    <s v="790 Main St"/>
    <x v="0"/>
    <x v="3"/>
    <x v="174"/>
    <n v="9"/>
    <x v="0"/>
    <x v="2"/>
    <x v="173"/>
    <n v="0"/>
  </r>
  <r>
    <x v="175"/>
    <x v="163"/>
    <x v="175"/>
    <x v="3"/>
    <x v="0"/>
    <x v="175"/>
    <s v="332 Main St"/>
    <x v="0"/>
    <x v="4"/>
    <x v="175"/>
    <n v="6"/>
    <x v="3"/>
    <x v="1"/>
    <x v="174"/>
    <n v="0"/>
  </r>
  <r>
    <x v="176"/>
    <x v="164"/>
    <x v="176"/>
    <x v="2"/>
    <x v="3"/>
    <x v="176"/>
    <s v="553 Main St"/>
    <x v="3"/>
    <x v="4"/>
    <x v="176"/>
    <n v="8"/>
    <x v="3"/>
    <x v="1"/>
    <x v="175"/>
    <n v="0"/>
  </r>
  <r>
    <x v="177"/>
    <x v="165"/>
    <x v="177"/>
    <x v="3"/>
    <x v="0"/>
    <x v="177"/>
    <s v="354 Main St"/>
    <x v="2"/>
    <x v="4"/>
    <x v="177"/>
    <n v="10"/>
    <x v="2"/>
    <x v="3"/>
    <x v="176"/>
    <n v="0"/>
  </r>
  <r>
    <x v="178"/>
    <x v="166"/>
    <x v="178"/>
    <x v="3"/>
    <x v="3"/>
    <x v="178"/>
    <s v="283 Main St"/>
    <x v="1"/>
    <x v="3"/>
    <x v="178"/>
    <n v="5"/>
    <x v="0"/>
    <x v="4"/>
    <x v="177"/>
    <n v="0"/>
  </r>
  <r>
    <x v="179"/>
    <x v="167"/>
    <x v="179"/>
    <x v="5"/>
    <x v="4"/>
    <x v="179"/>
    <s v="500 Main St"/>
    <x v="2"/>
    <x v="3"/>
    <x v="179"/>
    <n v="8"/>
    <x v="2"/>
    <x v="2"/>
    <x v="178"/>
    <n v="0"/>
  </r>
  <r>
    <x v="180"/>
    <x v="168"/>
    <x v="180"/>
    <x v="2"/>
    <x v="0"/>
    <x v="180"/>
    <s v="970 Main St"/>
    <x v="4"/>
    <x v="2"/>
    <x v="180"/>
    <n v="10"/>
    <x v="2"/>
    <x v="4"/>
    <x v="179"/>
    <n v="0"/>
  </r>
  <r>
    <x v="181"/>
    <x v="169"/>
    <x v="181"/>
    <x v="4"/>
    <x v="0"/>
    <x v="181"/>
    <s v="247 Main St"/>
    <x v="1"/>
    <x v="0"/>
    <x v="181"/>
    <n v="10"/>
    <x v="2"/>
    <x v="1"/>
    <x v="180"/>
    <n v="0"/>
  </r>
  <r>
    <x v="182"/>
    <x v="170"/>
    <x v="182"/>
    <x v="6"/>
    <x v="2"/>
    <x v="182"/>
    <s v="596 Main St"/>
    <x v="0"/>
    <x v="4"/>
    <x v="182"/>
    <n v="4"/>
    <x v="3"/>
    <x v="4"/>
    <x v="181"/>
    <n v="0"/>
  </r>
  <r>
    <x v="183"/>
    <x v="171"/>
    <x v="183"/>
    <x v="0"/>
    <x v="0"/>
    <x v="183"/>
    <s v="258 Main St"/>
    <x v="0"/>
    <x v="3"/>
    <x v="183"/>
    <n v="8"/>
    <x v="0"/>
    <x v="2"/>
    <x v="182"/>
    <n v="0"/>
  </r>
  <r>
    <x v="184"/>
    <x v="172"/>
    <x v="184"/>
    <x v="2"/>
    <x v="3"/>
    <x v="184"/>
    <s v="231 Main St"/>
    <x v="3"/>
    <x v="1"/>
    <x v="184"/>
    <n v="7"/>
    <x v="2"/>
    <x v="1"/>
    <x v="183"/>
    <n v="0"/>
  </r>
  <r>
    <x v="185"/>
    <x v="61"/>
    <x v="185"/>
    <x v="5"/>
    <x v="2"/>
    <x v="185"/>
    <s v="572 Main St"/>
    <x v="1"/>
    <x v="0"/>
    <x v="185"/>
    <n v="2"/>
    <x v="3"/>
    <x v="1"/>
    <x v="184"/>
    <n v="0"/>
  </r>
  <r>
    <x v="186"/>
    <x v="173"/>
    <x v="186"/>
    <x v="1"/>
    <x v="1"/>
    <x v="186"/>
    <s v="322 Main St"/>
    <x v="4"/>
    <x v="4"/>
    <x v="186"/>
    <n v="7"/>
    <x v="1"/>
    <x v="3"/>
    <x v="185"/>
    <n v="0"/>
  </r>
  <r>
    <x v="187"/>
    <x v="174"/>
    <x v="187"/>
    <x v="3"/>
    <x v="2"/>
    <x v="187"/>
    <s v="689 Main St"/>
    <x v="3"/>
    <x v="2"/>
    <x v="187"/>
    <n v="6"/>
    <x v="1"/>
    <x v="1"/>
    <x v="186"/>
    <n v="0"/>
  </r>
  <r>
    <x v="188"/>
    <x v="175"/>
    <x v="188"/>
    <x v="3"/>
    <x v="1"/>
    <x v="188"/>
    <s v="927 Main St"/>
    <x v="3"/>
    <x v="0"/>
    <x v="188"/>
    <n v="2"/>
    <x v="1"/>
    <x v="1"/>
    <x v="187"/>
    <n v="0"/>
  </r>
  <r>
    <x v="189"/>
    <x v="176"/>
    <x v="189"/>
    <x v="4"/>
    <x v="0"/>
    <x v="189"/>
    <s v="597 Main St"/>
    <x v="3"/>
    <x v="1"/>
    <x v="189"/>
    <n v="5"/>
    <x v="3"/>
    <x v="2"/>
    <x v="188"/>
    <n v="0"/>
  </r>
  <r>
    <x v="190"/>
    <x v="169"/>
    <x v="190"/>
    <x v="4"/>
    <x v="4"/>
    <x v="190"/>
    <s v="725 Main St"/>
    <x v="4"/>
    <x v="2"/>
    <x v="190"/>
    <n v="3"/>
    <x v="0"/>
    <x v="2"/>
    <x v="189"/>
    <n v="0"/>
  </r>
  <r>
    <x v="191"/>
    <x v="177"/>
    <x v="191"/>
    <x v="5"/>
    <x v="1"/>
    <x v="191"/>
    <s v="505 Main St"/>
    <x v="1"/>
    <x v="1"/>
    <x v="191"/>
    <n v="4"/>
    <x v="1"/>
    <x v="4"/>
    <x v="190"/>
    <n v="0"/>
  </r>
  <r>
    <x v="192"/>
    <x v="178"/>
    <x v="192"/>
    <x v="6"/>
    <x v="2"/>
    <x v="192"/>
    <s v="151 Main St"/>
    <x v="3"/>
    <x v="1"/>
    <x v="192"/>
    <n v="5"/>
    <x v="0"/>
    <x v="4"/>
    <x v="191"/>
    <n v="0"/>
  </r>
  <r>
    <x v="193"/>
    <x v="179"/>
    <x v="193"/>
    <x v="4"/>
    <x v="2"/>
    <x v="193"/>
    <s v="429 Main St"/>
    <x v="4"/>
    <x v="1"/>
    <x v="193"/>
    <n v="6"/>
    <x v="2"/>
    <x v="4"/>
    <x v="192"/>
    <n v="0"/>
  </r>
  <r>
    <x v="194"/>
    <x v="180"/>
    <x v="194"/>
    <x v="0"/>
    <x v="2"/>
    <x v="194"/>
    <s v="899 Main St"/>
    <x v="4"/>
    <x v="0"/>
    <x v="194"/>
    <n v="3"/>
    <x v="1"/>
    <x v="4"/>
    <x v="193"/>
    <n v="0"/>
  </r>
  <r>
    <x v="195"/>
    <x v="181"/>
    <x v="195"/>
    <x v="3"/>
    <x v="4"/>
    <x v="195"/>
    <s v="801 Main St"/>
    <x v="0"/>
    <x v="1"/>
    <x v="195"/>
    <n v="6"/>
    <x v="2"/>
    <x v="2"/>
    <x v="194"/>
    <n v="0"/>
  </r>
  <r>
    <x v="196"/>
    <x v="182"/>
    <x v="196"/>
    <x v="6"/>
    <x v="3"/>
    <x v="196"/>
    <s v="719 Main St"/>
    <x v="4"/>
    <x v="3"/>
    <x v="196"/>
    <n v="8"/>
    <x v="3"/>
    <x v="2"/>
    <x v="195"/>
    <n v="0"/>
  </r>
  <r>
    <x v="197"/>
    <x v="183"/>
    <x v="197"/>
    <x v="5"/>
    <x v="0"/>
    <x v="197"/>
    <s v="723 Main St"/>
    <x v="4"/>
    <x v="2"/>
    <x v="197"/>
    <n v="5"/>
    <x v="3"/>
    <x v="1"/>
    <x v="196"/>
    <n v="0"/>
  </r>
  <r>
    <x v="198"/>
    <x v="184"/>
    <x v="198"/>
    <x v="5"/>
    <x v="3"/>
    <x v="198"/>
    <s v="926 Main St"/>
    <x v="4"/>
    <x v="1"/>
    <x v="198"/>
    <n v="8"/>
    <x v="0"/>
    <x v="1"/>
    <x v="197"/>
    <n v="0"/>
  </r>
  <r>
    <x v="199"/>
    <x v="185"/>
    <x v="199"/>
    <x v="1"/>
    <x v="2"/>
    <x v="199"/>
    <s v="358 Main St"/>
    <x v="1"/>
    <x v="2"/>
    <x v="199"/>
    <n v="5"/>
    <x v="3"/>
    <x v="4"/>
    <x v="198"/>
    <n v="0"/>
  </r>
  <r>
    <x v="200"/>
    <x v="186"/>
    <x v="200"/>
    <x v="2"/>
    <x v="0"/>
    <x v="200"/>
    <s v="895 Main St"/>
    <x v="2"/>
    <x v="3"/>
    <x v="200"/>
    <n v="9"/>
    <x v="0"/>
    <x v="4"/>
    <x v="199"/>
    <n v="0"/>
  </r>
  <r>
    <x v="201"/>
    <x v="187"/>
    <x v="201"/>
    <x v="0"/>
    <x v="1"/>
    <x v="201"/>
    <s v="146 Main St"/>
    <x v="1"/>
    <x v="0"/>
    <x v="201"/>
    <n v="4"/>
    <x v="0"/>
    <x v="3"/>
    <x v="200"/>
    <n v="0"/>
  </r>
  <r>
    <x v="202"/>
    <x v="188"/>
    <x v="202"/>
    <x v="0"/>
    <x v="4"/>
    <x v="202"/>
    <s v="636 Main St"/>
    <x v="2"/>
    <x v="1"/>
    <x v="202"/>
    <n v="3"/>
    <x v="1"/>
    <x v="2"/>
    <x v="201"/>
    <n v="0"/>
  </r>
  <r>
    <x v="203"/>
    <x v="94"/>
    <x v="203"/>
    <x v="4"/>
    <x v="4"/>
    <x v="203"/>
    <s v="172 Main St"/>
    <x v="1"/>
    <x v="0"/>
    <x v="203"/>
    <n v="5"/>
    <x v="0"/>
    <x v="0"/>
    <x v="202"/>
    <n v="0"/>
  </r>
  <r>
    <x v="204"/>
    <x v="189"/>
    <x v="204"/>
    <x v="5"/>
    <x v="3"/>
    <x v="204"/>
    <s v="478 Main St"/>
    <x v="3"/>
    <x v="1"/>
    <x v="204"/>
    <n v="9"/>
    <x v="1"/>
    <x v="3"/>
    <x v="203"/>
    <n v="0"/>
  </r>
  <r>
    <x v="205"/>
    <x v="190"/>
    <x v="205"/>
    <x v="6"/>
    <x v="4"/>
    <x v="205"/>
    <s v="609 Main St"/>
    <x v="0"/>
    <x v="2"/>
    <x v="205"/>
    <n v="3"/>
    <x v="2"/>
    <x v="2"/>
    <x v="204"/>
    <n v="0"/>
  </r>
  <r>
    <x v="206"/>
    <x v="162"/>
    <x v="206"/>
    <x v="5"/>
    <x v="3"/>
    <x v="206"/>
    <s v="729 Main St"/>
    <x v="3"/>
    <x v="2"/>
    <x v="206"/>
    <n v="8"/>
    <x v="3"/>
    <x v="2"/>
    <x v="205"/>
    <n v="0"/>
  </r>
  <r>
    <x v="207"/>
    <x v="191"/>
    <x v="207"/>
    <x v="1"/>
    <x v="2"/>
    <x v="207"/>
    <s v="999 Main St"/>
    <x v="0"/>
    <x v="3"/>
    <x v="207"/>
    <n v="3"/>
    <x v="2"/>
    <x v="4"/>
    <x v="206"/>
    <n v="0"/>
  </r>
  <r>
    <x v="208"/>
    <x v="192"/>
    <x v="208"/>
    <x v="6"/>
    <x v="1"/>
    <x v="208"/>
    <s v="597 Main St"/>
    <x v="1"/>
    <x v="0"/>
    <x v="208"/>
    <n v="3"/>
    <x v="1"/>
    <x v="3"/>
    <x v="207"/>
    <n v="0"/>
  </r>
  <r>
    <x v="209"/>
    <x v="193"/>
    <x v="209"/>
    <x v="2"/>
    <x v="0"/>
    <x v="209"/>
    <s v="706 Main St"/>
    <x v="4"/>
    <x v="2"/>
    <x v="209"/>
    <n v="9"/>
    <x v="0"/>
    <x v="4"/>
    <x v="208"/>
    <n v="0"/>
  </r>
  <r>
    <x v="210"/>
    <x v="194"/>
    <x v="210"/>
    <x v="3"/>
    <x v="4"/>
    <x v="210"/>
    <s v="513 Main St"/>
    <x v="3"/>
    <x v="3"/>
    <x v="210"/>
    <n v="7"/>
    <x v="1"/>
    <x v="3"/>
    <x v="209"/>
    <n v="0"/>
  </r>
  <r>
    <x v="211"/>
    <x v="195"/>
    <x v="211"/>
    <x v="4"/>
    <x v="4"/>
    <x v="211"/>
    <s v="185 Main St"/>
    <x v="3"/>
    <x v="4"/>
    <x v="211"/>
    <n v="7"/>
    <x v="1"/>
    <x v="2"/>
    <x v="210"/>
    <n v="0"/>
  </r>
  <r>
    <x v="212"/>
    <x v="196"/>
    <x v="212"/>
    <x v="0"/>
    <x v="2"/>
    <x v="212"/>
    <s v="367 Main St"/>
    <x v="2"/>
    <x v="1"/>
    <x v="212"/>
    <n v="6"/>
    <x v="3"/>
    <x v="2"/>
    <x v="211"/>
    <n v="0"/>
  </r>
  <r>
    <x v="213"/>
    <x v="197"/>
    <x v="213"/>
    <x v="5"/>
    <x v="2"/>
    <x v="213"/>
    <s v="317 Main St"/>
    <x v="4"/>
    <x v="1"/>
    <x v="213"/>
    <n v="6"/>
    <x v="0"/>
    <x v="2"/>
    <x v="212"/>
    <n v="0"/>
  </r>
  <r>
    <x v="214"/>
    <x v="58"/>
    <x v="214"/>
    <x v="6"/>
    <x v="3"/>
    <x v="214"/>
    <s v="673 Main St"/>
    <x v="1"/>
    <x v="3"/>
    <x v="214"/>
    <n v="5"/>
    <x v="2"/>
    <x v="3"/>
    <x v="213"/>
    <n v="0"/>
  </r>
  <r>
    <x v="215"/>
    <x v="121"/>
    <x v="215"/>
    <x v="4"/>
    <x v="2"/>
    <x v="215"/>
    <s v="432 Main St"/>
    <x v="4"/>
    <x v="0"/>
    <x v="215"/>
    <n v="5"/>
    <x v="1"/>
    <x v="3"/>
    <x v="214"/>
    <n v="0"/>
  </r>
  <r>
    <x v="216"/>
    <x v="198"/>
    <x v="216"/>
    <x v="0"/>
    <x v="3"/>
    <x v="216"/>
    <s v="811 Main St"/>
    <x v="1"/>
    <x v="1"/>
    <x v="216"/>
    <n v="8"/>
    <x v="3"/>
    <x v="4"/>
    <x v="215"/>
    <n v="0"/>
  </r>
  <r>
    <x v="217"/>
    <x v="199"/>
    <x v="217"/>
    <x v="6"/>
    <x v="3"/>
    <x v="217"/>
    <s v="908 Main St"/>
    <x v="4"/>
    <x v="2"/>
    <x v="217"/>
    <n v="9"/>
    <x v="2"/>
    <x v="4"/>
    <x v="216"/>
    <n v="0"/>
  </r>
  <r>
    <x v="218"/>
    <x v="200"/>
    <x v="218"/>
    <x v="2"/>
    <x v="4"/>
    <x v="218"/>
    <s v="882 Main St"/>
    <x v="3"/>
    <x v="0"/>
    <x v="218"/>
    <n v="6"/>
    <x v="0"/>
    <x v="0"/>
    <x v="217"/>
    <n v="0"/>
  </r>
  <r>
    <x v="219"/>
    <x v="201"/>
    <x v="219"/>
    <x v="5"/>
    <x v="0"/>
    <x v="219"/>
    <s v="457 Main St"/>
    <x v="4"/>
    <x v="3"/>
    <x v="219"/>
    <n v="6"/>
    <x v="0"/>
    <x v="2"/>
    <x v="218"/>
    <n v="0"/>
  </r>
  <r>
    <x v="220"/>
    <x v="202"/>
    <x v="220"/>
    <x v="5"/>
    <x v="1"/>
    <x v="220"/>
    <s v="497 Main St"/>
    <x v="2"/>
    <x v="4"/>
    <x v="220"/>
    <n v="6"/>
    <x v="0"/>
    <x v="1"/>
    <x v="219"/>
    <n v="0"/>
  </r>
  <r>
    <x v="221"/>
    <x v="203"/>
    <x v="221"/>
    <x v="2"/>
    <x v="0"/>
    <x v="221"/>
    <s v="552 Main St"/>
    <x v="0"/>
    <x v="4"/>
    <x v="221"/>
    <n v="6"/>
    <x v="0"/>
    <x v="4"/>
    <x v="220"/>
    <n v="0"/>
  </r>
  <r>
    <x v="222"/>
    <x v="204"/>
    <x v="222"/>
    <x v="3"/>
    <x v="3"/>
    <x v="222"/>
    <s v="931 Main St"/>
    <x v="1"/>
    <x v="0"/>
    <x v="222"/>
    <n v="8"/>
    <x v="2"/>
    <x v="0"/>
    <x v="221"/>
    <n v="0"/>
  </r>
  <r>
    <x v="223"/>
    <x v="57"/>
    <x v="223"/>
    <x v="1"/>
    <x v="3"/>
    <x v="223"/>
    <s v="673 Main St"/>
    <x v="2"/>
    <x v="4"/>
    <x v="223"/>
    <n v="9"/>
    <x v="0"/>
    <x v="0"/>
    <x v="222"/>
    <n v="0"/>
  </r>
  <r>
    <x v="224"/>
    <x v="205"/>
    <x v="224"/>
    <x v="4"/>
    <x v="3"/>
    <x v="224"/>
    <s v="507 Main St"/>
    <x v="4"/>
    <x v="1"/>
    <x v="224"/>
    <n v="9"/>
    <x v="0"/>
    <x v="1"/>
    <x v="223"/>
    <n v="0"/>
  </r>
  <r>
    <x v="225"/>
    <x v="206"/>
    <x v="225"/>
    <x v="1"/>
    <x v="4"/>
    <x v="225"/>
    <s v="692 Main St"/>
    <x v="0"/>
    <x v="2"/>
    <x v="225"/>
    <n v="8"/>
    <x v="0"/>
    <x v="4"/>
    <x v="224"/>
    <n v="0"/>
  </r>
  <r>
    <x v="226"/>
    <x v="207"/>
    <x v="226"/>
    <x v="6"/>
    <x v="4"/>
    <x v="226"/>
    <s v="242 Main St"/>
    <x v="3"/>
    <x v="3"/>
    <x v="226"/>
    <n v="8"/>
    <x v="2"/>
    <x v="0"/>
    <x v="225"/>
    <n v="0"/>
  </r>
  <r>
    <x v="227"/>
    <x v="208"/>
    <x v="227"/>
    <x v="0"/>
    <x v="1"/>
    <x v="227"/>
    <s v="353 Main St"/>
    <x v="1"/>
    <x v="1"/>
    <x v="227"/>
    <n v="4"/>
    <x v="1"/>
    <x v="3"/>
    <x v="226"/>
    <n v="0"/>
  </r>
  <r>
    <x v="228"/>
    <x v="209"/>
    <x v="228"/>
    <x v="3"/>
    <x v="3"/>
    <x v="228"/>
    <s v="579 Main St"/>
    <x v="2"/>
    <x v="1"/>
    <x v="228"/>
    <n v="8"/>
    <x v="2"/>
    <x v="0"/>
    <x v="227"/>
    <n v="0"/>
  </r>
  <r>
    <x v="229"/>
    <x v="210"/>
    <x v="229"/>
    <x v="2"/>
    <x v="2"/>
    <x v="229"/>
    <s v="762 Main St"/>
    <x v="2"/>
    <x v="3"/>
    <x v="229"/>
    <n v="3"/>
    <x v="3"/>
    <x v="3"/>
    <x v="228"/>
    <n v="0"/>
  </r>
  <r>
    <x v="230"/>
    <x v="211"/>
    <x v="230"/>
    <x v="6"/>
    <x v="3"/>
    <x v="230"/>
    <s v="948 Main St"/>
    <x v="3"/>
    <x v="3"/>
    <x v="230"/>
    <n v="6"/>
    <x v="3"/>
    <x v="2"/>
    <x v="229"/>
    <n v="0"/>
  </r>
  <r>
    <x v="231"/>
    <x v="212"/>
    <x v="231"/>
    <x v="1"/>
    <x v="3"/>
    <x v="231"/>
    <s v="327 Main St"/>
    <x v="3"/>
    <x v="4"/>
    <x v="231"/>
    <n v="9"/>
    <x v="1"/>
    <x v="0"/>
    <x v="230"/>
    <n v="0"/>
  </r>
  <r>
    <x v="232"/>
    <x v="213"/>
    <x v="232"/>
    <x v="4"/>
    <x v="3"/>
    <x v="232"/>
    <s v="610 Main St"/>
    <x v="0"/>
    <x v="1"/>
    <x v="232"/>
    <n v="8"/>
    <x v="3"/>
    <x v="4"/>
    <x v="231"/>
    <n v="0"/>
  </r>
  <r>
    <x v="233"/>
    <x v="214"/>
    <x v="233"/>
    <x v="1"/>
    <x v="4"/>
    <x v="233"/>
    <s v="146 Main St"/>
    <x v="4"/>
    <x v="1"/>
    <x v="233"/>
    <n v="3"/>
    <x v="3"/>
    <x v="0"/>
    <x v="232"/>
    <n v="0"/>
  </r>
  <r>
    <x v="234"/>
    <x v="130"/>
    <x v="234"/>
    <x v="4"/>
    <x v="3"/>
    <x v="234"/>
    <s v="337 Main St"/>
    <x v="0"/>
    <x v="4"/>
    <x v="234"/>
    <n v="7"/>
    <x v="0"/>
    <x v="4"/>
    <x v="233"/>
    <n v="0"/>
  </r>
  <r>
    <x v="235"/>
    <x v="215"/>
    <x v="235"/>
    <x v="6"/>
    <x v="2"/>
    <x v="235"/>
    <s v="815 Main St"/>
    <x v="4"/>
    <x v="4"/>
    <x v="235"/>
    <n v="2"/>
    <x v="3"/>
    <x v="4"/>
    <x v="234"/>
    <n v="0"/>
  </r>
  <r>
    <x v="236"/>
    <x v="107"/>
    <x v="236"/>
    <x v="0"/>
    <x v="2"/>
    <x v="236"/>
    <s v="562 Main St"/>
    <x v="0"/>
    <x v="4"/>
    <x v="236"/>
    <n v="3"/>
    <x v="3"/>
    <x v="2"/>
    <x v="235"/>
    <n v="0"/>
  </r>
  <r>
    <x v="237"/>
    <x v="216"/>
    <x v="237"/>
    <x v="0"/>
    <x v="4"/>
    <x v="237"/>
    <s v="783 Main St"/>
    <x v="2"/>
    <x v="0"/>
    <x v="237"/>
    <n v="5"/>
    <x v="1"/>
    <x v="3"/>
    <x v="236"/>
    <n v="0"/>
  </r>
  <r>
    <x v="238"/>
    <x v="217"/>
    <x v="238"/>
    <x v="6"/>
    <x v="3"/>
    <x v="238"/>
    <s v="770 Main St"/>
    <x v="2"/>
    <x v="4"/>
    <x v="238"/>
    <n v="6"/>
    <x v="3"/>
    <x v="4"/>
    <x v="237"/>
    <n v="0"/>
  </r>
  <r>
    <x v="239"/>
    <x v="218"/>
    <x v="239"/>
    <x v="2"/>
    <x v="4"/>
    <x v="239"/>
    <s v="456 Main St"/>
    <x v="1"/>
    <x v="0"/>
    <x v="239"/>
    <n v="6"/>
    <x v="1"/>
    <x v="2"/>
    <x v="238"/>
    <n v="0"/>
  </r>
  <r>
    <x v="240"/>
    <x v="219"/>
    <x v="240"/>
    <x v="2"/>
    <x v="2"/>
    <x v="240"/>
    <s v="255 Main St"/>
    <x v="1"/>
    <x v="4"/>
    <x v="240"/>
    <n v="2"/>
    <x v="1"/>
    <x v="0"/>
    <x v="239"/>
    <n v="0"/>
  </r>
  <r>
    <x v="241"/>
    <x v="220"/>
    <x v="241"/>
    <x v="3"/>
    <x v="0"/>
    <x v="241"/>
    <s v="407 Main St"/>
    <x v="1"/>
    <x v="4"/>
    <x v="241"/>
    <n v="6"/>
    <x v="0"/>
    <x v="2"/>
    <x v="240"/>
    <n v="0"/>
  </r>
  <r>
    <x v="242"/>
    <x v="221"/>
    <x v="242"/>
    <x v="4"/>
    <x v="1"/>
    <x v="242"/>
    <s v="134 Main St"/>
    <x v="1"/>
    <x v="4"/>
    <x v="242"/>
    <n v="4"/>
    <x v="0"/>
    <x v="1"/>
    <x v="241"/>
    <n v="0"/>
  </r>
  <r>
    <x v="243"/>
    <x v="222"/>
    <x v="243"/>
    <x v="3"/>
    <x v="1"/>
    <x v="243"/>
    <s v="506 Main St"/>
    <x v="1"/>
    <x v="1"/>
    <x v="243"/>
    <n v="7"/>
    <x v="1"/>
    <x v="4"/>
    <x v="242"/>
    <n v="0"/>
  </r>
  <r>
    <x v="244"/>
    <x v="223"/>
    <x v="244"/>
    <x v="6"/>
    <x v="1"/>
    <x v="244"/>
    <s v="838 Main St"/>
    <x v="0"/>
    <x v="1"/>
    <x v="244"/>
    <n v="4"/>
    <x v="3"/>
    <x v="3"/>
    <x v="243"/>
    <n v="0"/>
  </r>
  <r>
    <x v="245"/>
    <x v="224"/>
    <x v="245"/>
    <x v="5"/>
    <x v="2"/>
    <x v="245"/>
    <s v="306 Main St"/>
    <x v="1"/>
    <x v="2"/>
    <x v="245"/>
    <n v="1"/>
    <x v="2"/>
    <x v="3"/>
    <x v="244"/>
    <n v="0"/>
  </r>
  <r>
    <x v="246"/>
    <x v="225"/>
    <x v="246"/>
    <x v="6"/>
    <x v="1"/>
    <x v="246"/>
    <s v="164 Main St"/>
    <x v="3"/>
    <x v="0"/>
    <x v="246"/>
    <n v="2"/>
    <x v="3"/>
    <x v="0"/>
    <x v="245"/>
    <n v="0"/>
  </r>
  <r>
    <x v="247"/>
    <x v="145"/>
    <x v="247"/>
    <x v="4"/>
    <x v="1"/>
    <x v="247"/>
    <s v="785 Main St"/>
    <x v="3"/>
    <x v="0"/>
    <x v="247"/>
    <n v="4"/>
    <x v="2"/>
    <x v="2"/>
    <x v="246"/>
    <n v="0"/>
  </r>
  <r>
    <x v="248"/>
    <x v="226"/>
    <x v="248"/>
    <x v="5"/>
    <x v="2"/>
    <x v="248"/>
    <s v="471 Main St"/>
    <x v="4"/>
    <x v="0"/>
    <x v="248"/>
    <n v="6"/>
    <x v="1"/>
    <x v="1"/>
    <x v="247"/>
    <n v="0"/>
  </r>
  <r>
    <x v="249"/>
    <x v="227"/>
    <x v="249"/>
    <x v="4"/>
    <x v="2"/>
    <x v="249"/>
    <s v="245 Main St"/>
    <x v="4"/>
    <x v="4"/>
    <x v="249"/>
    <n v="5"/>
    <x v="1"/>
    <x v="1"/>
    <x v="248"/>
    <n v="0"/>
  </r>
  <r>
    <x v="250"/>
    <x v="228"/>
    <x v="250"/>
    <x v="6"/>
    <x v="4"/>
    <x v="250"/>
    <s v="318 Main St"/>
    <x v="3"/>
    <x v="2"/>
    <x v="250"/>
    <n v="8"/>
    <x v="0"/>
    <x v="2"/>
    <x v="249"/>
    <n v="0"/>
  </r>
  <r>
    <x v="251"/>
    <x v="229"/>
    <x v="251"/>
    <x v="0"/>
    <x v="3"/>
    <x v="251"/>
    <s v="814 Main St"/>
    <x v="4"/>
    <x v="1"/>
    <x v="251"/>
    <n v="9"/>
    <x v="2"/>
    <x v="2"/>
    <x v="250"/>
    <n v="0"/>
  </r>
  <r>
    <x v="252"/>
    <x v="28"/>
    <x v="252"/>
    <x v="1"/>
    <x v="3"/>
    <x v="252"/>
    <s v="821 Main St"/>
    <x v="3"/>
    <x v="1"/>
    <x v="252"/>
    <n v="5"/>
    <x v="1"/>
    <x v="3"/>
    <x v="251"/>
    <n v="0"/>
  </r>
  <r>
    <x v="253"/>
    <x v="230"/>
    <x v="253"/>
    <x v="3"/>
    <x v="3"/>
    <x v="253"/>
    <s v="743 Main St"/>
    <x v="3"/>
    <x v="2"/>
    <x v="253"/>
    <n v="7"/>
    <x v="1"/>
    <x v="0"/>
    <x v="252"/>
    <n v="0"/>
  </r>
  <r>
    <x v="254"/>
    <x v="231"/>
    <x v="254"/>
    <x v="0"/>
    <x v="4"/>
    <x v="254"/>
    <s v="770 Main St"/>
    <x v="1"/>
    <x v="3"/>
    <x v="254"/>
    <n v="5"/>
    <x v="2"/>
    <x v="0"/>
    <x v="253"/>
    <n v="0"/>
  </r>
  <r>
    <x v="255"/>
    <x v="232"/>
    <x v="255"/>
    <x v="0"/>
    <x v="2"/>
    <x v="255"/>
    <s v="806 Main St"/>
    <x v="3"/>
    <x v="2"/>
    <x v="255"/>
    <n v="2"/>
    <x v="0"/>
    <x v="4"/>
    <x v="254"/>
    <n v="0"/>
  </r>
  <r>
    <x v="256"/>
    <x v="233"/>
    <x v="256"/>
    <x v="3"/>
    <x v="0"/>
    <x v="256"/>
    <s v="463 Main St"/>
    <x v="3"/>
    <x v="2"/>
    <x v="256"/>
    <n v="10"/>
    <x v="3"/>
    <x v="0"/>
    <x v="255"/>
    <n v="0"/>
  </r>
  <r>
    <x v="257"/>
    <x v="234"/>
    <x v="257"/>
    <x v="1"/>
    <x v="2"/>
    <x v="257"/>
    <s v="712 Main St"/>
    <x v="2"/>
    <x v="1"/>
    <x v="257"/>
    <n v="5"/>
    <x v="0"/>
    <x v="1"/>
    <x v="256"/>
    <n v="0"/>
  </r>
  <r>
    <x v="258"/>
    <x v="235"/>
    <x v="258"/>
    <x v="2"/>
    <x v="1"/>
    <x v="258"/>
    <s v="294 Main St"/>
    <x v="1"/>
    <x v="0"/>
    <x v="258"/>
    <n v="2"/>
    <x v="1"/>
    <x v="1"/>
    <x v="257"/>
    <n v="0"/>
  </r>
  <r>
    <x v="259"/>
    <x v="236"/>
    <x v="259"/>
    <x v="3"/>
    <x v="3"/>
    <x v="259"/>
    <s v="636 Main St"/>
    <x v="2"/>
    <x v="3"/>
    <x v="259"/>
    <n v="9"/>
    <x v="0"/>
    <x v="0"/>
    <x v="258"/>
    <n v="0"/>
  </r>
  <r>
    <x v="260"/>
    <x v="209"/>
    <x v="260"/>
    <x v="0"/>
    <x v="1"/>
    <x v="260"/>
    <s v="153 Main St"/>
    <x v="0"/>
    <x v="0"/>
    <x v="260"/>
    <n v="3"/>
    <x v="2"/>
    <x v="4"/>
    <x v="259"/>
    <n v="0"/>
  </r>
  <r>
    <x v="261"/>
    <x v="237"/>
    <x v="261"/>
    <x v="1"/>
    <x v="0"/>
    <x v="261"/>
    <s v="460 Main St"/>
    <x v="3"/>
    <x v="3"/>
    <x v="261"/>
    <n v="9"/>
    <x v="0"/>
    <x v="2"/>
    <x v="260"/>
    <n v="0"/>
  </r>
  <r>
    <x v="262"/>
    <x v="238"/>
    <x v="262"/>
    <x v="1"/>
    <x v="3"/>
    <x v="262"/>
    <s v="642 Main St"/>
    <x v="2"/>
    <x v="2"/>
    <x v="262"/>
    <n v="5"/>
    <x v="3"/>
    <x v="1"/>
    <x v="261"/>
    <n v="0"/>
  </r>
  <r>
    <x v="263"/>
    <x v="239"/>
    <x v="263"/>
    <x v="1"/>
    <x v="3"/>
    <x v="263"/>
    <s v="250 Main St"/>
    <x v="2"/>
    <x v="4"/>
    <x v="263"/>
    <n v="4"/>
    <x v="3"/>
    <x v="4"/>
    <x v="262"/>
    <n v="0"/>
  </r>
  <r>
    <x v="264"/>
    <x v="240"/>
    <x v="264"/>
    <x v="2"/>
    <x v="2"/>
    <x v="264"/>
    <s v="977 Main St"/>
    <x v="4"/>
    <x v="2"/>
    <x v="264"/>
    <n v="5"/>
    <x v="1"/>
    <x v="4"/>
    <x v="263"/>
    <n v="0"/>
  </r>
  <r>
    <x v="265"/>
    <x v="241"/>
    <x v="265"/>
    <x v="4"/>
    <x v="2"/>
    <x v="265"/>
    <s v="150 Main St"/>
    <x v="0"/>
    <x v="1"/>
    <x v="265"/>
    <n v="4"/>
    <x v="0"/>
    <x v="4"/>
    <x v="264"/>
    <n v="0"/>
  </r>
  <r>
    <x v="266"/>
    <x v="180"/>
    <x v="266"/>
    <x v="3"/>
    <x v="3"/>
    <x v="266"/>
    <s v="589 Main St"/>
    <x v="2"/>
    <x v="1"/>
    <x v="266"/>
    <n v="6"/>
    <x v="1"/>
    <x v="1"/>
    <x v="265"/>
    <n v="0"/>
  </r>
  <r>
    <x v="267"/>
    <x v="242"/>
    <x v="267"/>
    <x v="3"/>
    <x v="0"/>
    <x v="267"/>
    <s v="803 Main St"/>
    <x v="0"/>
    <x v="3"/>
    <x v="267"/>
    <n v="9"/>
    <x v="2"/>
    <x v="3"/>
    <x v="266"/>
    <n v="0"/>
  </r>
  <r>
    <x v="268"/>
    <x v="178"/>
    <x v="268"/>
    <x v="1"/>
    <x v="1"/>
    <x v="268"/>
    <s v="655 Main St"/>
    <x v="0"/>
    <x v="3"/>
    <x v="268"/>
    <n v="7"/>
    <x v="0"/>
    <x v="1"/>
    <x v="267"/>
    <n v="0"/>
  </r>
  <r>
    <x v="269"/>
    <x v="97"/>
    <x v="269"/>
    <x v="2"/>
    <x v="3"/>
    <x v="269"/>
    <s v="129 Main St"/>
    <x v="2"/>
    <x v="4"/>
    <x v="269"/>
    <n v="7"/>
    <x v="1"/>
    <x v="4"/>
    <x v="268"/>
    <n v="0"/>
  </r>
  <r>
    <x v="270"/>
    <x v="243"/>
    <x v="270"/>
    <x v="4"/>
    <x v="3"/>
    <x v="270"/>
    <s v="127 Main St"/>
    <x v="0"/>
    <x v="0"/>
    <x v="270"/>
    <n v="5"/>
    <x v="3"/>
    <x v="4"/>
    <x v="269"/>
    <n v="0"/>
  </r>
  <r>
    <x v="271"/>
    <x v="125"/>
    <x v="271"/>
    <x v="0"/>
    <x v="2"/>
    <x v="271"/>
    <s v="791 Main St"/>
    <x v="4"/>
    <x v="0"/>
    <x v="271"/>
    <n v="6"/>
    <x v="3"/>
    <x v="1"/>
    <x v="270"/>
    <n v="0"/>
  </r>
  <r>
    <x v="272"/>
    <x v="244"/>
    <x v="272"/>
    <x v="3"/>
    <x v="1"/>
    <x v="272"/>
    <s v="119 Main St"/>
    <x v="1"/>
    <x v="4"/>
    <x v="272"/>
    <n v="6"/>
    <x v="3"/>
    <x v="0"/>
    <x v="271"/>
    <n v="0"/>
  </r>
  <r>
    <x v="273"/>
    <x v="245"/>
    <x v="273"/>
    <x v="2"/>
    <x v="1"/>
    <x v="273"/>
    <s v="974 Main St"/>
    <x v="1"/>
    <x v="1"/>
    <x v="273"/>
    <n v="7"/>
    <x v="1"/>
    <x v="2"/>
    <x v="272"/>
    <n v="0"/>
  </r>
  <r>
    <x v="274"/>
    <x v="246"/>
    <x v="274"/>
    <x v="1"/>
    <x v="1"/>
    <x v="274"/>
    <s v="884 Main St"/>
    <x v="3"/>
    <x v="1"/>
    <x v="274"/>
    <n v="5"/>
    <x v="0"/>
    <x v="1"/>
    <x v="273"/>
    <n v="0"/>
  </r>
  <r>
    <x v="275"/>
    <x v="247"/>
    <x v="275"/>
    <x v="3"/>
    <x v="1"/>
    <x v="275"/>
    <s v="360 Main St"/>
    <x v="2"/>
    <x v="1"/>
    <x v="275"/>
    <n v="4"/>
    <x v="0"/>
    <x v="4"/>
    <x v="274"/>
    <n v="0"/>
  </r>
  <r>
    <x v="276"/>
    <x v="248"/>
    <x v="276"/>
    <x v="4"/>
    <x v="1"/>
    <x v="276"/>
    <s v="654 Main St"/>
    <x v="0"/>
    <x v="2"/>
    <x v="276"/>
    <n v="3"/>
    <x v="3"/>
    <x v="0"/>
    <x v="275"/>
    <n v="0"/>
  </r>
  <r>
    <x v="277"/>
    <x v="82"/>
    <x v="277"/>
    <x v="3"/>
    <x v="0"/>
    <x v="277"/>
    <s v="910 Main St"/>
    <x v="2"/>
    <x v="3"/>
    <x v="277"/>
    <n v="9"/>
    <x v="0"/>
    <x v="3"/>
    <x v="276"/>
    <n v="0"/>
  </r>
  <r>
    <x v="278"/>
    <x v="249"/>
    <x v="278"/>
    <x v="5"/>
    <x v="0"/>
    <x v="278"/>
    <s v="299 Main St"/>
    <x v="4"/>
    <x v="3"/>
    <x v="278"/>
    <n v="6"/>
    <x v="1"/>
    <x v="0"/>
    <x v="277"/>
    <n v="0"/>
  </r>
  <r>
    <x v="279"/>
    <x v="250"/>
    <x v="279"/>
    <x v="3"/>
    <x v="4"/>
    <x v="279"/>
    <s v="263 Main St"/>
    <x v="1"/>
    <x v="4"/>
    <x v="279"/>
    <n v="7"/>
    <x v="3"/>
    <x v="2"/>
    <x v="278"/>
    <n v="0"/>
  </r>
  <r>
    <x v="280"/>
    <x v="14"/>
    <x v="280"/>
    <x v="2"/>
    <x v="4"/>
    <x v="280"/>
    <s v="740 Main St"/>
    <x v="3"/>
    <x v="3"/>
    <x v="280"/>
    <n v="6"/>
    <x v="1"/>
    <x v="0"/>
    <x v="279"/>
    <n v="0"/>
  </r>
  <r>
    <x v="281"/>
    <x v="152"/>
    <x v="281"/>
    <x v="6"/>
    <x v="3"/>
    <x v="281"/>
    <s v="195 Main St"/>
    <x v="4"/>
    <x v="4"/>
    <x v="281"/>
    <n v="9"/>
    <x v="2"/>
    <x v="1"/>
    <x v="280"/>
    <n v="0"/>
  </r>
  <r>
    <x v="282"/>
    <x v="251"/>
    <x v="282"/>
    <x v="4"/>
    <x v="3"/>
    <x v="282"/>
    <s v="375 Main St"/>
    <x v="3"/>
    <x v="1"/>
    <x v="282"/>
    <n v="9"/>
    <x v="1"/>
    <x v="4"/>
    <x v="281"/>
    <n v="0"/>
  </r>
  <r>
    <x v="283"/>
    <x v="252"/>
    <x v="283"/>
    <x v="5"/>
    <x v="3"/>
    <x v="283"/>
    <s v="990 Main St"/>
    <x v="4"/>
    <x v="0"/>
    <x v="283"/>
    <n v="6"/>
    <x v="2"/>
    <x v="4"/>
    <x v="282"/>
    <n v="0"/>
  </r>
  <r>
    <x v="284"/>
    <x v="223"/>
    <x v="284"/>
    <x v="5"/>
    <x v="0"/>
    <x v="284"/>
    <s v="516 Main St"/>
    <x v="2"/>
    <x v="2"/>
    <x v="284"/>
    <n v="6"/>
    <x v="0"/>
    <x v="3"/>
    <x v="283"/>
    <n v="0"/>
  </r>
  <r>
    <x v="285"/>
    <x v="69"/>
    <x v="285"/>
    <x v="1"/>
    <x v="2"/>
    <x v="285"/>
    <s v="974 Main St"/>
    <x v="1"/>
    <x v="3"/>
    <x v="285"/>
    <n v="3"/>
    <x v="2"/>
    <x v="4"/>
    <x v="284"/>
    <n v="0"/>
  </r>
  <r>
    <x v="286"/>
    <x v="253"/>
    <x v="286"/>
    <x v="0"/>
    <x v="4"/>
    <x v="286"/>
    <s v="187 Main St"/>
    <x v="3"/>
    <x v="2"/>
    <x v="286"/>
    <n v="8"/>
    <x v="3"/>
    <x v="4"/>
    <x v="285"/>
    <n v="0"/>
  </r>
  <r>
    <x v="287"/>
    <x v="254"/>
    <x v="287"/>
    <x v="3"/>
    <x v="3"/>
    <x v="287"/>
    <s v="630 Main St"/>
    <x v="1"/>
    <x v="0"/>
    <x v="287"/>
    <n v="5"/>
    <x v="2"/>
    <x v="3"/>
    <x v="286"/>
    <n v="0"/>
  </r>
  <r>
    <x v="288"/>
    <x v="255"/>
    <x v="288"/>
    <x v="5"/>
    <x v="3"/>
    <x v="288"/>
    <s v="537 Main St"/>
    <x v="0"/>
    <x v="2"/>
    <x v="288"/>
    <n v="8"/>
    <x v="3"/>
    <x v="4"/>
    <x v="287"/>
    <n v="0"/>
  </r>
  <r>
    <x v="289"/>
    <x v="256"/>
    <x v="289"/>
    <x v="3"/>
    <x v="3"/>
    <x v="289"/>
    <s v="333 Main St"/>
    <x v="2"/>
    <x v="0"/>
    <x v="289"/>
    <n v="8"/>
    <x v="3"/>
    <x v="1"/>
    <x v="288"/>
    <n v="0"/>
  </r>
  <r>
    <x v="290"/>
    <x v="257"/>
    <x v="290"/>
    <x v="3"/>
    <x v="4"/>
    <x v="290"/>
    <s v="258 Main St"/>
    <x v="4"/>
    <x v="3"/>
    <x v="290"/>
    <n v="8"/>
    <x v="1"/>
    <x v="3"/>
    <x v="289"/>
    <n v="0"/>
  </r>
  <r>
    <x v="291"/>
    <x v="258"/>
    <x v="291"/>
    <x v="1"/>
    <x v="1"/>
    <x v="291"/>
    <s v="670 Main St"/>
    <x v="2"/>
    <x v="3"/>
    <x v="291"/>
    <n v="6"/>
    <x v="1"/>
    <x v="4"/>
    <x v="290"/>
    <n v="0"/>
  </r>
  <r>
    <x v="292"/>
    <x v="259"/>
    <x v="292"/>
    <x v="0"/>
    <x v="2"/>
    <x v="292"/>
    <s v="185 Main St"/>
    <x v="2"/>
    <x v="3"/>
    <x v="292"/>
    <n v="5"/>
    <x v="2"/>
    <x v="3"/>
    <x v="291"/>
    <n v="0"/>
  </r>
  <r>
    <x v="293"/>
    <x v="223"/>
    <x v="293"/>
    <x v="2"/>
    <x v="3"/>
    <x v="293"/>
    <s v="564 Main St"/>
    <x v="3"/>
    <x v="2"/>
    <x v="293"/>
    <n v="9"/>
    <x v="2"/>
    <x v="0"/>
    <x v="292"/>
    <n v="0"/>
  </r>
  <r>
    <x v="294"/>
    <x v="260"/>
    <x v="294"/>
    <x v="1"/>
    <x v="1"/>
    <x v="294"/>
    <s v="208 Main St"/>
    <x v="1"/>
    <x v="0"/>
    <x v="294"/>
    <n v="7"/>
    <x v="0"/>
    <x v="1"/>
    <x v="293"/>
    <n v="0"/>
  </r>
  <r>
    <x v="295"/>
    <x v="261"/>
    <x v="295"/>
    <x v="4"/>
    <x v="0"/>
    <x v="295"/>
    <s v="278 Main St"/>
    <x v="0"/>
    <x v="1"/>
    <x v="295"/>
    <n v="9"/>
    <x v="1"/>
    <x v="2"/>
    <x v="294"/>
    <n v="0"/>
  </r>
  <r>
    <x v="296"/>
    <x v="83"/>
    <x v="296"/>
    <x v="6"/>
    <x v="0"/>
    <x v="296"/>
    <s v="434 Main St"/>
    <x v="0"/>
    <x v="1"/>
    <x v="296"/>
    <n v="10"/>
    <x v="3"/>
    <x v="1"/>
    <x v="295"/>
    <n v="0"/>
  </r>
  <r>
    <x v="297"/>
    <x v="262"/>
    <x v="297"/>
    <x v="6"/>
    <x v="1"/>
    <x v="297"/>
    <s v="252 Main St"/>
    <x v="2"/>
    <x v="2"/>
    <x v="297"/>
    <n v="7"/>
    <x v="0"/>
    <x v="0"/>
    <x v="296"/>
    <n v="0"/>
  </r>
  <r>
    <x v="298"/>
    <x v="263"/>
    <x v="298"/>
    <x v="4"/>
    <x v="3"/>
    <x v="298"/>
    <s v="267 Main St"/>
    <x v="1"/>
    <x v="1"/>
    <x v="298"/>
    <n v="6"/>
    <x v="2"/>
    <x v="2"/>
    <x v="297"/>
    <n v="0"/>
  </r>
  <r>
    <x v="299"/>
    <x v="264"/>
    <x v="299"/>
    <x v="0"/>
    <x v="2"/>
    <x v="299"/>
    <s v="856 Main St"/>
    <x v="3"/>
    <x v="1"/>
    <x v="299"/>
    <n v="2"/>
    <x v="1"/>
    <x v="0"/>
    <x v="298"/>
    <n v="0"/>
  </r>
  <r>
    <x v="300"/>
    <x v="265"/>
    <x v="300"/>
    <x v="1"/>
    <x v="2"/>
    <x v="300"/>
    <s v="894 Main St"/>
    <x v="0"/>
    <x v="2"/>
    <x v="300"/>
    <n v="3"/>
    <x v="1"/>
    <x v="3"/>
    <x v="299"/>
    <n v="0"/>
  </r>
  <r>
    <x v="301"/>
    <x v="67"/>
    <x v="301"/>
    <x v="3"/>
    <x v="2"/>
    <x v="301"/>
    <s v="726 Main St"/>
    <x v="4"/>
    <x v="1"/>
    <x v="301"/>
    <n v="2"/>
    <x v="0"/>
    <x v="2"/>
    <x v="300"/>
    <n v="0"/>
  </r>
  <r>
    <x v="302"/>
    <x v="220"/>
    <x v="302"/>
    <x v="3"/>
    <x v="4"/>
    <x v="302"/>
    <s v="121 Main St"/>
    <x v="4"/>
    <x v="4"/>
    <x v="302"/>
    <n v="4"/>
    <x v="1"/>
    <x v="0"/>
    <x v="301"/>
    <n v="0"/>
  </r>
  <r>
    <x v="303"/>
    <x v="34"/>
    <x v="303"/>
    <x v="2"/>
    <x v="2"/>
    <x v="303"/>
    <s v="368 Main St"/>
    <x v="0"/>
    <x v="2"/>
    <x v="303"/>
    <n v="1"/>
    <x v="2"/>
    <x v="4"/>
    <x v="302"/>
    <n v="0"/>
  </r>
  <r>
    <x v="304"/>
    <x v="266"/>
    <x v="304"/>
    <x v="0"/>
    <x v="0"/>
    <x v="304"/>
    <s v="326 Main St"/>
    <x v="3"/>
    <x v="3"/>
    <x v="304"/>
    <n v="10"/>
    <x v="1"/>
    <x v="0"/>
    <x v="303"/>
    <n v="0"/>
  </r>
  <r>
    <x v="305"/>
    <x v="97"/>
    <x v="305"/>
    <x v="5"/>
    <x v="3"/>
    <x v="305"/>
    <s v="235 Main St"/>
    <x v="4"/>
    <x v="4"/>
    <x v="305"/>
    <n v="9"/>
    <x v="1"/>
    <x v="0"/>
    <x v="304"/>
    <n v="0"/>
  </r>
  <r>
    <x v="306"/>
    <x v="267"/>
    <x v="306"/>
    <x v="4"/>
    <x v="1"/>
    <x v="306"/>
    <s v="238 Main St"/>
    <x v="0"/>
    <x v="2"/>
    <x v="306"/>
    <n v="3"/>
    <x v="0"/>
    <x v="0"/>
    <x v="305"/>
    <n v="0"/>
  </r>
  <r>
    <x v="307"/>
    <x v="268"/>
    <x v="307"/>
    <x v="5"/>
    <x v="4"/>
    <x v="307"/>
    <s v="135 Main St"/>
    <x v="1"/>
    <x v="3"/>
    <x v="307"/>
    <n v="4"/>
    <x v="2"/>
    <x v="2"/>
    <x v="306"/>
    <n v="0"/>
  </r>
  <r>
    <x v="308"/>
    <x v="66"/>
    <x v="308"/>
    <x v="4"/>
    <x v="4"/>
    <x v="308"/>
    <s v="790 Main St"/>
    <x v="0"/>
    <x v="2"/>
    <x v="308"/>
    <n v="7"/>
    <x v="0"/>
    <x v="0"/>
    <x v="307"/>
    <n v="0"/>
  </r>
  <r>
    <x v="309"/>
    <x v="269"/>
    <x v="309"/>
    <x v="3"/>
    <x v="3"/>
    <x v="309"/>
    <s v="625 Main St"/>
    <x v="0"/>
    <x v="3"/>
    <x v="309"/>
    <n v="4"/>
    <x v="1"/>
    <x v="3"/>
    <x v="308"/>
    <n v="0"/>
  </r>
  <r>
    <x v="310"/>
    <x v="270"/>
    <x v="310"/>
    <x v="4"/>
    <x v="4"/>
    <x v="310"/>
    <s v="968 Main St"/>
    <x v="1"/>
    <x v="0"/>
    <x v="310"/>
    <n v="4"/>
    <x v="2"/>
    <x v="1"/>
    <x v="309"/>
    <n v="0"/>
  </r>
  <r>
    <x v="311"/>
    <x v="271"/>
    <x v="311"/>
    <x v="6"/>
    <x v="0"/>
    <x v="311"/>
    <s v="274 Main St"/>
    <x v="1"/>
    <x v="2"/>
    <x v="311"/>
    <n v="8"/>
    <x v="2"/>
    <x v="0"/>
    <x v="310"/>
    <n v="0"/>
  </r>
  <r>
    <x v="312"/>
    <x v="272"/>
    <x v="312"/>
    <x v="4"/>
    <x v="0"/>
    <x v="312"/>
    <s v="579 Main St"/>
    <x v="3"/>
    <x v="4"/>
    <x v="312"/>
    <n v="7"/>
    <x v="1"/>
    <x v="1"/>
    <x v="311"/>
    <n v="0"/>
  </r>
  <r>
    <x v="313"/>
    <x v="273"/>
    <x v="313"/>
    <x v="3"/>
    <x v="1"/>
    <x v="313"/>
    <s v="978 Main St"/>
    <x v="4"/>
    <x v="3"/>
    <x v="313"/>
    <n v="7"/>
    <x v="0"/>
    <x v="0"/>
    <x v="312"/>
    <n v="0"/>
  </r>
  <r>
    <x v="314"/>
    <x v="274"/>
    <x v="314"/>
    <x v="6"/>
    <x v="3"/>
    <x v="314"/>
    <s v="540 Main St"/>
    <x v="1"/>
    <x v="3"/>
    <x v="314"/>
    <n v="4"/>
    <x v="1"/>
    <x v="1"/>
    <x v="313"/>
    <n v="0"/>
  </r>
  <r>
    <x v="315"/>
    <x v="275"/>
    <x v="315"/>
    <x v="2"/>
    <x v="0"/>
    <x v="315"/>
    <s v="301 Main St"/>
    <x v="1"/>
    <x v="1"/>
    <x v="315"/>
    <n v="9"/>
    <x v="1"/>
    <x v="2"/>
    <x v="314"/>
    <n v="0"/>
  </r>
  <r>
    <x v="316"/>
    <x v="276"/>
    <x v="316"/>
    <x v="6"/>
    <x v="3"/>
    <x v="316"/>
    <s v="101 Main St"/>
    <x v="3"/>
    <x v="0"/>
    <x v="316"/>
    <n v="9"/>
    <x v="3"/>
    <x v="3"/>
    <x v="315"/>
    <n v="0"/>
  </r>
  <r>
    <x v="317"/>
    <x v="132"/>
    <x v="317"/>
    <x v="0"/>
    <x v="1"/>
    <x v="317"/>
    <s v="339 Main St"/>
    <x v="1"/>
    <x v="2"/>
    <x v="317"/>
    <n v="5"/>
    <x v="2"/>
    <x v="0"/>
    <x v="316"/>
    <n v="0"/>
  </r>
  <r>
    <x v="318"/>
    <x v="277"/>
    <x v="318"/>
    <x v="3"/>
    <x v="4"/>
    <x v="318"/>
    <s v="317 Main St"/>
    <x v="0"/>
    <x v="1"/>
    <x v="318"/>
    <n v="7"/>
    <x v="0"/>
    <x v="4"/>
    <x v="317"/>
    <n v="0"/>
  </r>
  <r>
    <x v="319"/>
    <x v="278"/>
    <x v="319"/>
    <x v="5"/>
    <x v="1"/>
    <x v="319"/>
    <s v="413 Main St"/>
    <x v="4"/>
    <x v="2"/>
    <x v="319"/>
    <n v="6"/>
    <x v="2"/>
    <x v="0"/>
    <x v="318"/>
    <n v="0"/>
  </r>
  <r>
    <x v="320"/>
    <x v="36"/>
    <x v="320"/>
    <x v="4"/>
    <x v="2"/>
    <x v="320"/>
    <s v="772 Main St"/>
    <x v="2"/>
    <x v="0"/>
    <x v="320"/>
    <n v="1"/>
    <x v="1"/>
    <x v="3"/>
    <x v="319"/>
    <n v="0"/>
  </r>
  <r>
    <x v="321"/>
    <x v="279"/>
    <x v="321"/>
    <x v="1"/>
    <x v="3"/>
    <x v="321"/>
    <s v="135 Main St"/>
    <x v="0"/>
    <x v="1"/>
    <x v="321"/>
    <n v="6"/>
    <x v="3"/>
    <x v="4"/>
    <x v="320"/>
    <n v="0"/>
  </r>
  <r>
    <x v="322"/>
    <x v="280"/>
    <x v="322"/>
    <x v="1"/>
    <x v="0"/>
    <x v="322"/>
    <s v="339 Main St"/>
    <x v="0"/>
    <x v="3"/>
    <x v="322"/>
    <n v="6"/>
    <x v="0"/>
    <x v="3"/>
    <x v="321"/>
    <n v="0"/>
  </r>
  <r>
    <x v="323"/>
    <x v="281"/>
    <x v="323"/>
    <x v="5"/>
    <x v="2"/>
    <x v="323"/>
    <s v="414 Main St"/>
    <x v="0"/>
    <x v="2"/>
    <x v="323"/>
    <n v="1"/>
    <x v="0"/>
    <x v="1"/>
    <x v="322"/>
    <n v="0"/>
  </r>
  <r>
    <x v="324"/>
    <x v="136"/>
    <x v="324"/>
    <x v="2"/>
    <x v="4"/>
    <x v="324"/>
    <s v="847 Main St"/>
    <x v="0"/>
    <x v="2"/>
    <x v="324"/>
    <n v="5"/>
    <x v="2"/>
    <x v="1"/>
    <x v="323"/>
    <n v="0"/>
  </r>
  <r>
    <x v="325"/>
    <x v="282"/>
    <x v="325"/>
    <x v="6"/>
    <x v="4"/>
    <x v="325"/>
    <s v="665 Main St"/>
    <x v="2"/>
    <x v="0"/>
    <x v="325"/>
    <n v="8"/>
    <x v="2"/>
    <x v="1"/>
    <x v="324"/>
    <n v="0"/>
  </r>
  <r>
    <x v="326"/>
    <x v="283"/>
    <x v="326"/>
    <x v="5"/>
    <x v="0"/>
    <x v="326"/>
    <s v="273 Main St"/>
    <x v="3"/>
    <x v="2"/>
    <x v="326"/>
    <n v="5"/>
    <x v="0"/>
    <x v="3"/>
    <x v="325"/>
    <n v="0"/>
  </r>
  <r>
    <x v="327"/>
    <x v="284"/>
    <x v="327"/>
    <x v="1"/>
    <x v="2"/>
    <x v="327"/>
    <s v="385 Main St"/>
    <x v="3"/>
    <x v="1"/>
    <x v="327"/>
    <n v="5"/>
    <x v="0"/>
    <x v="2"/>
    <x v="326"/>
    <n v="0"/>
  </r>
  <r>
    <x v="328"/>
    <x v="285"/>
    <x v="328"/>
    <x v="2"/>
    <x v="0"/>
    <x v="328"/>
    <s v="546 Main St"/>
    <x v="1"/>
    <x v="1"/>
    <x v="328"/>
    <n v="7"/>
    <x v="0"/>
    <x v="4"/>
    <x v="327"/>
    <n v="0"/>
  </r>
  <r>
    <x v="329"/>
    <x v="286"/>
    <x v="329"/>
    <x v="3"/>
    <x v="3"/>
    <x v="329"/>
    <s v="306 Main St"/>
    <x v="2"/>
    <x v="0"/>
    <x v="329"/>
    <n v="6"/>
    <x v="2"/>
    <x v="4"/>
    <x v="328"/>
    <n v="0"/>
  </r>
  <r>
    <x v="330"/>
    <x v="287"/>
    <x v="330"/>
    <x v="6"/>
    <x v="0"/>
    <x v="330"/>
    <s v="532 Main St"/>
    <x v="3"/>
    <x v="4"/>
    <x v="330"/>
    <n v="5"/>
    <x v="0"/>
    <x v="0"/>
    <x v="329"/>
    <n v="0"/>
  </r>
  <r>
    <x v="331"/>
    <x v="288"/>
    <x v="331"/>
    <x v="4"/>
    <x v="4"/>
    <x v="331"/>
    <s v="187 Main St"/>
    <x v="1"/>
    <x v="3"/>
    <x v="331"/>
    <n v="7"/>
    <x v="0"/>
    <x v="3"/>
    <x v="330"/>
    <n v="0"/>
  </r>
  <r>
    <x v="332"/>
    <x v="289"/>
    <x v="332"/>
    <x v="6"/>
    <x v="0"/>
    <x v="332"/>
    <s v="607 Main St"/>
    <x v="0"/>
    <x v="4"/>
    <x v="332"/>
    <n v="9"/>
    <x v="0"/>
    <x v="4"/>
    <x v="331"/>
    <n v="0"/>
  </r>
  <r>
    <x v="333"/>
    <x v="162"/>
    <x v="333"/>
    <x v="1"/>
    <x v="2"/>
    <x v="333"/>
    <s v="818 Main St"/>
    <x v="2"/>
    <x v="2"/>
    <x v="333"/>
    <n v="5"/>
    <x v="3"/>
    <x v="0"/>
    <x v="332"/>
    <n v="0"/>
  </r>
  <r>
    <x v="334"/>
    <x v="290"/>
    <x v="334"/>
    <x v="3"/>
    <x v="3"/>
    <x v="334"/>
    <s v="728 Main St"/>
    <x v="1"/>
    <x v="3"/>
    <x v="334"/>
    <n v="7"/>
    <x v="3"/>
    <x v="3"/>
    <x v="333"/>
    <n v="0"/>
  </r>
  <r>
    <x v="335"/>
    <x v="291"/>
    <x v="335"/>
    <x v="2"/>
    <x v="4"/>
    <x v="335"/>
    <s v="978 Main St"/>
    <x v="3"/>
    <x v="0"/>
    <x v="335"/>
    <n v="4"/>
    <x v="2"/>
    <x v="2"/>
    <x v="334"/>
    <n v="0"/>
  </r>
  <r>
    <x v="336"/>
    <x v="10"/>
    <x v="336"/>
    <x v="5"/>
    <x v="2"/>
    <x v="336"/>
    <s v="441 Main St"/>
    <x v="0"/>
    <x v="4"/>
    <x v="336"/>
    <n v="4"/>
    <x v="0"/>
    <x v="0"/>
    <x v="335"/>
    <n v="0"/>
  </r>
  <r>
    <x v="337"/>
    <x v="292"/>
    <x v="337"/>
    <x v="2"/>
    <x v="4"/>
    <x v="337"/>
    <s v="599 Main St"/>
    <x v="0"/>
    <x v="2"/>
    <x v="337"/>
    <n v="8"/>
    <x v="3"/>
    <x v="2"/>
    <x v="336"/>
    <n v="0"/>
  </r>
  <r>
    <x v="338"/>
    <x v="293"/>
    <x v="338"/>
    <x v="1"/>
    <x v="0"/>
    <x v="338"/>
    <s v="704 Main St"/>
    <x v="0"/>
    <x v="0"/>
    <x v="338"/>
    <n v="10"/>
    <x v="2"/>
    <x v="1"/>
    <x v="337"/>
    <n v="0"/>
  </r>
  <r>
    <x v="339"/>
    <x v="294"/>
    <x v="339"/>
    <x v="4"/>
    <x v="1"/>
    <x v="339"/>
    <s v="398 Main St"/>
    <x v="1"/>
    <x v="4"/>
    <x v="339"/>
    <n v="3"/>
    <x v="0"/>
    <x v="0"/>
    <x v="338"/>
    <n v="0"/>
  </r>
  <r>
    <x v="340"/>
    <x v="295"/>
    <x v="340"/>
    <x v="5"/>
    <x v="0"/>
    <x v="340"/>
    <s v="826 Main St"/>
    <x v="4"/>
    <x v="1"/>
    <x v="340"/>
    <n v="8"/>
    <x v="2"/>
    <x v="2"/>
    <x v="339"/>
    <n v="0"/>
  </r>
  <r>
    <x v="341"/>
    <x v="296"/>
    <x v="341"/>
    <x v="2"/>
    <x v="2"/>
    <x v="341"/>
    <s v="293 Main St"/>
    <x v="3"/>
    <x v="0"/>
    <x v="341"/>
    <n v="5"/>
    <x v="3"/>
    <x v="2"/>
    <x v="340"/>
    <n v="0"/>
  </r>
  <r>
    <x v="342"/>
    <x v="53"/>
    <x v="342"/>
    <x v="0"/>
    <x v="0"/>
    <x v="342"/>
    <s v="619 Main St"/>
    <x v="3"/>
    <x v="2"/>
    <x v="342"/>
    <n v="5"/>
    <x v="2"/>
    <x v="1"/>
    <x v="341"/>
    <n v="0"/>
  </r>
  <r>
    <x v="343"/>
    <x v="297"/>
    <x v="343"/>
    <x v="4"/>
    <x v="2"/>
    <x v="343"/>
    <s v="919 Main St"/>
    <x v="0"/>
    <x v="4"/>
    <x v="343"/>
    <n v="3"/>
    <x v="1"/>
    <x v="3"/>
    <x v="342"/>
    <n v="0"/>
  </r>
  <r>
    <x v="344"/>
    <x v="298"/>
    <x v="344"/>
    <x v="2"/>
    <x v="4"/>
    <x v="344"/>
    <s v="248 Main St"/>
    <x v="1"/>
    <x v="1"/>
    <x v="344"/>
    <n v="3"/>
    <x v="0"/>
    <x v="0"/>
    <x v="343"/>
    <n v="0"/>
  </r>
  <r>
    <x v="345"/>
    <x v="173"/>
    <x v="345"/>
    <x v="2"/>
    <x v="0"/>
    <x v="345"/>
    <s v="259 Main St"/>
    <x v="3"/>
    <x v="0"/>
    <x v="345"/>
    <n v="10"/>
    <x v="1"/>
    <x v="1"/>
    <x v="344"/>
    <n v="0"/>
  </r>
  <r>
    <x v="346"/>
    <x v="299"/>
    <x v="346"/>
    <x v="2"/>
    <x v="2"/>
    <x v="346"/>
    <s v="876 Main St"/>
    <x v="4"/>
    <x v="4"/>
    <x v="346"/>
    <n v="6"/>
    <x v="2"/>
    <x v="1"/>
    <x v="345"/>
    <n v="0"/>
  </r>
  <r>
    <x v="347"/>
    <x v="300"/>
    <x v="347"/>
    <x v="4"/>
    <x v="3"/>
    <x v="347"/>
    <s v="380 Main St"/>
    <x v="2"/>
    <x v="4"/>
    <x v="347"/>
    <n v="5"/>
    <x v="0"/>
    <x v="4"/>
    <x v="346"/>
    <n v="0"/>
  </r>
  <r>
    <x v="348"/>
    <x v="206"/>
    <x v="348"/>
    <x v="5"/>
    <x v="4"/>
    <x v="348"/>
    <s v="885 Main St"/>
    <x v="0"/>
    <x v="2"/>
    <x v="348"/>
    <n v="7"/>
    <x v="1"/>
    <x v="2"/>
    <x v="347"/>
    <n v="0"/>
  </r>
  <r>
    <x v="349"/>
    <x v="115"/>
    <x v="349"/>
    <x v="3"/>
    <x v="2"/>
    <x v="349"/>
    <s v="824 Main St"/>
    <x v="3"/>
    <x v="3"/>
    <x v="349"/>
    <n v="2"/>
    <x v="1"/>
    <x v="4"/>
    <x v="348"/>
    <n v="0"/>
  </r>
  <r>
    <x v="350"/>
    <x v="301"/>
    <x v="350"/>
    <x v="3"/>
    <x v="1"/>
    <x v="350"/>
    <s v="495 Main St"/>
    <x v="1"/>
    <x v="0"/>
    <x v="350"/>
    <n v="6"/>
    <x v="2"/>
    <x v="0"/>
    <x v="349"/>
    <n v="0"/>
  </r>
  <r>
    <x v="351"/>
    <x v="302"/>
    <x v="351"/>
    <x v="5"/>
    <x v="2"/>
    <x v="351"/>
    <s v="494 Main St"/>
    <x v="0"/>
    <x v="3"/>
    <x v="351"/>
    <n v="4"/>
    <x v="2"/>
    <x v="0"/>
    <x v="350"/>
    <n v="0"/>
  </r>
  <r>
    <x v="352"/>
    <x v="303"/>
    <x v="352"/>
    <x v="3"/>
    <x v="0"/>
    <x v="352"/>
    <s v="995 Main St"/>
    <x v="0"/>
    <x v="4"/>
    <x v="352"/>
    <n v="8"/>
    <x v="3"/>
    <x v="0"/>
    <x v="351"/>
    <n v="0"/>
  </r>
  <r>
    <x v="353"/>
    <x v="210"/>
    <x v="353"/>
    <x v="2"/>
    <x v="2"/>
    <x v="353"/>
    <s v="171 Main St"/>
    <x v="1"/>
    <x v="3"/>
    <x v="353"/>
    <n v="5"/>
    <x v="1"/>
    <x v="4"/>
    <x v="352"/>
    <n v="0"/>
  </r>
  <r>
    <x v="354"/>
    <x v="304"/>
    <x v="354"/>
    <x v="1"/>
    <x v="2"/>
    <x v="354"/>
    <s v="992 Main St"/>
    <x v="0"/>
    <x v="0"/>
    <x v="354"/>
    <n v="4"/>
    <x v="2"/>
    <x v="0"/>
    <x v="353"/>
    <n v="0"/>
  </r>
  <r>
    <x v="355"/>
    <x v="305"/>
    <x v="355"/>
    <x v="2"/>
    <x v="4"/>
    <x v="355"/>
    <s v="677 Main St"/>
    <x v="2"/>
    <x v="1"/>
    <x v="355"/>
    <n v="4"/>
    <x v="1"/>
    <x v="1"/>
    <x v="354"/>
    <n v="0"/>
  </r>
  <r>
    <x v="356"/>
    <x v="306"/>
    <x v="356"/>
    <x v="4"/>
    <x v="0"/>
    <x v="356"/>
    <s v="907 Main St"/>
    <x v="3"/>
    <x v="1"/>
    <x v="356"/>
    <n v="10"/>
    <x v="1"/>
    <x v="0"/>
    <x v="355"/>
    <n v="0"/>
  </r>
  <r>
    <x v="357"/>
    <x v="307"/>
    <x v="357"/>
    <x v="5"/>
    <x v="0"/>
    <x v="357"/>
    <s v="398 Main St"/>
    <x v="0"/>
    <x v="3"/>
    <x v="357"/>
    <n v="8"/>
    <x v="1"/>
    <x v="0"/>
    <x v="356"/>
    <n v="0"/>
  </r>
  <r>
    <x v="358"/>
    <x v="158"/>
    <x v="358"/>
    <x v="2"/>
    <x v="1"/>
    <x v="358"/>
    <s v="747 Main St"/>
    <x v="1"/>
    <x v="1"/>
    <x v="358"/>
    <n v="3"/>
    <x v="0"/>
    <x v="4"/>
    <x v="357"/>
    <n v="0"/>
  </r>
  <r>
    <x v="359"/>
    <x v="308"/>
    <x v="359"/>
    <x v="6"/>
    <x v="3"/>
    <x v="359"/>
    <s v="303 Main St"/>
    <x v="0"/>
    <x v="3"/>
    <x v="359"/>
    <n v="5"/>
    <x v="3"/>
    <x v="1"/>
    <x v="358"/>
    <n v="0"/>
  </r>
  <r>
    <x v="360"/>
    <x v="309"/>
    <x v="360"/>
    <x v="1"/>
    <x v="3"/>
    <x v="360"/>
    <s v="779 Main St"/>
    <x v="4"/>
    <x v="4"/>
    <x v="360"/>
    <n v="8"/>
    <x v="2"/>
    <x v="0"/>
    <x v="359"/>
    <n v="0"/>
  </r>
  <r>
    <x v="361"/>
    <x v="310"/>
    <x v="361"/>
    <x v="4"/>
    <x v="0"/>
    <x v="361"/>
    <s v="197 Main St"/>
    <x v="2"/>
    <x v="3"/>
    <x v="361"/>
    <n v="9"/>
    <x v="0"/>
    <x v="3"/>
    <x v="360"/>
    <n v="0"/>
  </r>
  <r>
    <x v="362"/>
    <x v="78"/>
    <x v="362"/>
    <x v="0"/>
    <x v="3"/>
    <x v="362"/>
    <s v="312 Main St"/>
    <x v="4"/>
    <x v="1"/>
    <x v="362"/>
    <n v="5"/>
    <x v="3"/>
    <x v="0"/>
    <x v="361"/>
    <n v="0"/>
  </r>
  <r>
    <x v="363"/>
    <x v="75"/>
    <x v="363"/>
    <x v="5"/>
    <x v="0"/>
    <x v="363"/>
    <s v="871 Main St"/>
    <x v="2"/>
    <x v="4"/>
    <x v="363"/>
    <n v="6"/>
    <x v="0"/>
    <x v="2"/>
    <x v="362"/>
    <n v="0"/>
  </r>
  <r>
    <x v="364"/>
    <x v="254"/>
    <x v="364"/>
    <x v="1"/>
    <x v="0"/>
    <x v="364"/>
    <s v="740 Main St"/>
    <x v="4"/>
    <x v="1"/>
    <x v="364"/>
    <n v="9"/>
    <x v="1"/>
    <x v="3"/>
    <x v="363"/>
    <n v="0"/>
  </r>
  <r>
    <x v="365"/>
    <x v="311"/>
    <x v="365"/>
    <x v="1"/>
    <x v="2"/>
    <x v="365"/>
    <s v="607 Main St"/>
    <x v="2"/>
    <x v="1"/>
    <x v="365"/>
    <n v="4"/>
    <x v="0"/>
    <x v="1"/>
    <x v="364"/>
    <n v="0"/>
  </r>
  <r>
    <x v="366"/>
    <x v="312"/>
    <x v="366"/>
    <x v="4"/>
    <x v="4"/>
    <x v="366"/>
    <s v="603 Main St"/>
    <x v="0"/>
    <x v="4"/>
    <x v="366"/>
    <n v="8"/>
    <x v="2"/>
    <x v="1"/>
    <x v="365"/>
    <n v="0"/>
  </r>
  <r>
    <x v="367"/>
    <x v="313"/>
    <x v="367"/>
    <x v="5"/>
    <x v="0"/>
    <x v="367"/>
    <s v="712 Main St"/>
    <x v="3"/>
    <x v="4"/>
    <x v="367"/>
    <n v="10"/>
    <x v="1"/>
    <x v="0"/>
    <x v="366"/>
    <n v="0"/>
  </r>
  <r>
    <x v="368"/>
    <x v="31"/>
    <x v="368"/>
    <x v="0"/>
    <x v="4"/>
    <x v="368"/>
    <s v="403 Main St"/>
    <x v="2"/>
    <x v="1"/>
    <x v="368"/>
    <n v="6"/>
    <x v="2"/>
    <x v="4"/>
    <x v="367"/>
    <n v="0"/>
  </r>
  <r>
    <x v="369"/>
    <x v="70"/>
    <x v="369"/>
    <x v="0"/>
    <x v="0"/>
    <x v="369"/>
    <s v="216 Main St"/>
    <x v="3"/>
    <x v="4"/>
    <x v="369"/>
    <n v="9"/>
    <x v="0"/>
    <x v="2"/>
    <x v="368"/>
    <n v="0"/>
  </r>
  <r>
    <x v="370"/>
    <x v="120"/>
    <x v="370"/>
    <x v="1"/>
    <x v="2"/>
    <x v="370"/>
    <s v="870 Main St"/>
    <x v="1"/>
    <x v="1"/>
    <x v="370"/>
    <n v="4"/>
    <x v="3"/>
    <x v="3"/>
    <x v="369"/>
    <n v="0"/>
  </r>
  <r>
    <x v="371"/>
    <x v="314"/>
    <x v="371"/>
    <x v="1"/>
    <x v="0"/>
    <x v="371"/>
    <s v="179 Main St"/>
    <x v="3"/>
    <x v="4"/>
    <x v="371"/>
    <n v="9"/>
    <x v="1"/>
    <x v="4"/>
    <x v="370"/>
    <n v="0"/>
  </r>
  <r>
    <x v="372"/>
    <x v="311"/>
    <x v="372"/>
    <x v="3"/>
    <x v="4"/>
    <x v="372"/>
    <s v="166 Main St"/>
    <x v="4"/>
    <x v="2"/>
    <x v="372"/>
    <n v="4"/>
    <x v="2"/>
    <x v="1"/>
    <x v="371"/>
    <n v="0"/>
  </r>
  <r>
    <x v="373"/>
    <x v="315"/>
    <x v="373"/>
    <x v="5"/>
    <x v="4"/>
    <x v="373"/>
    <s v="969 Main St"/>
    <x v="4"/>
    <x v="4"/>
    <x v="373"/>
    <n v="4"/>
    <x v="1"/>
    <x v="0"/>
    <x v="372"/>
    <n v="0"/>
  </r>
  <r>
    <x v="374"/>
    <x v="316"/>
    <x v="374"/>
    <x v="0"/>
    <x v="2"/>
    <x v="374"/>
    <s v="129 Main St"/>
    <x v="3"/>
    <x v="4"/>
    <x v="374"/>
    <n v="1"/>
    <x v="3"/>
    <x v="0"/>
    <x v="373"/>
    <n v="0"/>
  </r>
  <r>
    <x v="375"/>
    <x v="317"/>
    <x v="375"/>
    <x v="0"/>
    <x v="3"/>
    <x v="375"/>
    <s v="400 Main St"/>
    <x v="1"/>
    <x v="0"/>
    <x v="375"/>
    <n v="8"/>
    <x v="1"/>
    <x v="3"/>
    <x v="374"/>
    <n v="0"/>
  </r>
  <r>
    <x v="376"/>
    <x v="318"/>
    <x v="376"/>
    <x v="0"/>
    <x v="0"/>
    <x v="376"/>
    <s v="341 Main St"/>
    <x v="0"/>
    <x v="4"/>
    <x v="376"/>
    <n v="6"/>
    <x v="1"/>
    <x v="3"/>
    <x v="375"/>
    <n v="0"/>
  </r>
  <r>
    <x v="377"/>
    <x v="319"/>
    <x v="377"/>
    <x v="0"/>
    <x v="2"/>
    <x v="377"/>
    <s v="625 Main St"/>
    <x v="1"/>
    <x v="4"/>
    <x v="377"/>
    <n v="5"/>
    <x v="3"/>
    <x v="0"/>
    <x v="376"/>
    <n v="0"/>
  </r>
  <r>
    <x v="378"/>
    <x v="320"/>
    <x v="378"/>
    <x v="3"/>
    <x v="0"/>
    <x v="378"/>
    <s v="148 Main St"/>
    <x v="2"/>
    <x v="4"/>
    <x v="378"/>
    <n v="8"/>
    <x v="3"/>
    <x v="0"/>
    <x v="377"/>
    <n v="0"/>
  </r>
  <r>
    <x v="379"/>
    <x v="321"/>
    <x v="379"/>
    <x v="1"/>
    <x v="4"/>
    <x v="379"/>
    <s v="500 Main St"/>
    <x v="1"/>
    <x v="0"/>
    <x v="379"/>
    <n v="6"/>
    <x v="2"/>
    <x v="4"/>
    <x v="378"/>
    <n v="0"/>
  </r>
  <r>
    <x v="380"/>
    <x v="322"/>
    <x v="380"/>
    <x v="4"/>
    <x v="3"/>
    <x v="380"/>
    <s v="127 Main St"/>
    <x v="4"/>
    <x v="4"/>
    <x v="380"/>
    <n v="5"/>
    <x v="0"/>
    <x v="0"/>
    <x v="379"/>
    <n v="0"/>
  </r>
  <r>
    <x v="381"/>
    <x v="323"/>
    <x v="381"/>
    <x v="3"/>
    <x v="2"/>
    <x v="381"/>
    <s v="223 Main St"/>
    <x v="2"/>
    <x v="2"/>
    <x v="381"/>
    <n v="1"/>
    <x v="1"/>
    <x v="0"/>
    <x v="380"/>
    <n v="0"/>
  </r>
  <r>
    <x v="382"/>
    <x v="324"/>
    <x v="382"/>
    <x v="4"/>
    <x v="3"/>
    <x v="382"/>
    <s v="272 Main St"/>
    <x v="0"/>
    <x v="0"/>
    <x v="382"/>
    <n v="8"/>
    <x v="0"/>
    <x v="4"/>
    <x v="381"/>
    <n v="0"/>
  </r>
  <r>
    <x v="383"/>
    <x v="325"/>
    <x v="383"/>
    <x v="3"/>
    <x v="3"/>
    <x v="383"/>
    <s v="837 Main St"/>
    <x v="2"/>
    <x v="4"/>
    <x v="383"/>
    <n v="7"/>
    <x v="0"/>
    <x v="2"/>
    <x v="382"/>
    <n v="0"/>
  </r>
  <r>
    <x v="384"/>
    <x v="167"/>
    <x v="384"/>
    <x v="3"/>
    <x v="4"/>
    <x v="384"/>
    <s v="147 Main St"/>
    <x v="2"/>
    <x v="2"/>
    <x v="384"/>
    <n v="4"/>
    <x v="1"/>
    <x v="3"/>
    <x v="383"/>
    <n v="0"/>
  </r>
  <r>
    <x v="385"/>
    <x v="150"/>
    <x v="385"/>
    <x v="3"/>
    <x v="0"/>
    <x v="385"/>
    <s v="752 Main St"/>
    <x v="3"/>
    <x v="3"/>
    <x v="385"/>
    <n v="6"/>
    <x v="1"/>
    <x v="3"/>
    <x v="384"/>
    <n v="0"/>
  </r>
  <r>
    <x v="386"/>
    <x v="200"/>
    <x v="386"/>
    <x v="2"/>
    <x v="2"/>
    <x v="386"/>
    <s v="373 Main St"/>
    <x v="1"/>
    <x v="2"/>
    <x v="386"/>
    <n v="4"/>
    <x v="2"/>
    <x v="2"/>
    <x v="385"/>
    <n v="0"/>
  </r>
  <r>
    <x v="387"/>
    <x v="326"/>
    <x v="387"/>
    <x v="4"/>
    <x v="1"/>
    <x v="387"/>
    <s v="904 Main St"/>
    <x v="2"/>
    <x v="0"/>
    <x v="387"/>
    <n v="3"/>
    <x v="3"/>
    <x v="4"/>
    <x v="386"/>
    <n v="0"/>
  </r>
  <r>
    <x v="388"/>
    <x v="153"/>
    <x v="388"/>
    <x v="4"/>
    <x v="4"/>
    <x v="388"/>
    <s v="152 Main St"/>
    <x v="4"/>
    <x v="4"/>
    <x v="388"/>
    <n v="7"/>
    <x v="3"/>
    <x v="3"/>
    <x v="387"/>
    <n v="0"/>
  </r>
  <r>
    <x v="389"/>
    <x v="327"/>
    <x v="389"/>
    <x v="6"/>
    <x v="3"/>
    <x v="389"/>
    <s v="558 Main St"/>
    <x v="4"/>
    <x v="0"/>
    <x v="389"/>
    <n v="7"/>
    <x v="1"/>
    <x v="1"/>
    <x v="388"/>
    <n v="0"/>
  </r>
  <r>
    <x v="390"/>
    <x v="328"/>
    <x v="390"/>
    <x v="4"/>
    <x v="0"/>
    <x v="390"/>
    <s v="885 Main St"/>
    <x v="4"/>
    <x v="3"/>
    <x v="390"/>
    <n v="10"/>
    <x v="1"/>
    <x v="4"/>
    <x v="389"/>
    <n v="0"/>
  </r>
  <r>
    <x v="391"/>
    <x v="317"/>
    <x v="391"/>
    <x v="5"/>
    <x v="1"/>
    <x v="391"/>
    <s v="516 Main St"/>
    <x v="0"/>
    <x v="1"/>
    <x v="391"/>
    <n v="3"/>
    <x v="1"/>
    <x v="1"/>
    <x v="390"/>
    <n v="0"/>
  </r>
  <r>
    <x v="392"/>
    <x v="329"/>
    <x v="392"/>
    <x v="1"/>
    <x v="2"/>
    <x v="392"/>
    <s v="197 Main St"/>
    <x v="1"/>
    <x v="3"/>
    <x v="392"/>
    <n v="1"/>
    <x v="3"/>
    <x v="2"/>
    <x v="391"/>
    <n v="0"/>
  </r>
  <r>
    <x v="393"/>
    <x v="330"/>
    <x v="393"/>
    <x v="4"/>
    <x v="2"/>
    <x v="393"/>
    <s v="921 Main St"/>
    <x v="2"/>
    <x v="2"/>
    <x v="393"/>
    <n v="3"/>
    <x v="2"/>
    <x v="4"/>
    <x v="392"/>
    <n v="0"/>
  </r>
  <r>
    <x v="394"/>
    <x v="176"/>
    <x v="394"/>
    <x v="6"/>
    <x v="0"/>
    <x v="394"/>
    <s v="359 Main St"/>
    <x v="3"/>
    <x v="0"/>
    <x v="394"/>
    <n v="10"/>
    <x v="2"/>
    <x v="3"/>
    <x v="393"/>
    <n v="0"/>
  </r>
  <r>
    <x v="395"/>
    <x v="331"/>
    <x v="395"/>
    <x v="1"/>
    <x v="4"/>
    <x v="395"/>
    <s v="830 Main St"/>
    <x v="3"/>
    <x v="3"/>
    <x v="395"/>
    <n v="7"/>
    <x v="0"/>
    <x v="1"/>
    <x v="394"/>
    <n v="0"/>
  </r>
  <r>
    <x v="396"/>
    <x v="142"/>
    <x v="396"/>
    <x v="2"/>
    <x v="0"/>
    <x v="396"/>
    <s v="778 Main St"/>
    <x v="1"/>
    <x v="0"/>
    <x v="396"/>
    <n v="10"/>
    <x v="0"/>
    <x v="2"/>
    <x v="395"/>
    <n v="0"/>
  </r>
  <r>
    <x v="397"/>
    <x v="332"/>
    <x v="397"/>
    <x v="0"/>
    <x v="2"/>
    <x v="397"/>
    <s v="987 Main St"/>
    <x v="1"/>
    <x v="1"/>
    <x v="397"/>
    <n v="1"/>
    <x v="3"/>
    <x v="1"/>
    <x v="396"/>
    <n v="0"/>
  </r>
  <r>
    <x v="398"/>
    <x v="333"/>
    <x v="398"/>
    <x v="1"/>
    <x v="0"/>
    <x v="398"/>
    <s v="729 Main St"/>
    <x v="3"/>
    <x v="0"/>
    <x v="398"/>
    <n v="7"/>
    <x v="0"/>
    <x v="0"/>
    <x v="397"/>
    <n v="0"/>
  </r>
  <r>
    <x v="399"/>
    <x v="334"/>
    <x v="399"/>
    <x v="2"/>
    <x v="0"/>
    <x v="399"/>
    <s v="319 Main St"/>
    <x v="0"/>
    <x v="2"/>
    <x v="399"/>
    <n v="5"/>
    <x v="1"/>
    <x v="3"/>
    <x v="398"/>
    <n v="0"/>
  </r>
  <r>
    <x v="400"/>
    <x v="335"/>
    <x v="400"/>
    <x v="6"/>
    <x v="3"/>
    <x v="400"/>
    <s v="304 Main St"/>
    <x v="0"/>
    <x v="2"/>
    <x v="400"/>
    <n v="9"/>
    <x v="3"/>
    <x v="0"/>
    <x v="399"/>
    <n v="0"/>
  </r>
  <r>
    <x v="401"/>
    <x v="23"/>
    <x v="401"/>
    <x v="4"/>
    <x v="2"/>
    <x v="401"/>
    <s v="197 Main St"/>
    <x v="0"/>
    <x v="2"/>
    <x v="401"/>
    <n v="6"/>
    <x v="2"/>
    <x v="1"/>
    <x v="400"/>
    <n v="0"/>
  </r>
  <r>
    <x v="402"/>
    <x v="336"/>
    <x v="402"/>
    <x v="4"/>
    <x v="0"/>
    <x v="402"/>
    <s v="858 Main St"/>
    <x v="3"/>
    <x v="0"/>
    <x v="402"/>
    <n v="5"/>
    <x v="2"/>
    <x v="1"/>
    <x v="401"/>
    <n v="0"/>
  </r>
  <r>
    <x v="403"/>
    <x v="337"/>
    <x v="403"/>
    <x v="2"/>
    <x v="2"/>
    <x v="403"/>
    <s v="740 Main St"/>
    <x v="1"/>
    <x v="2"/>
    <x v="403"/>
    <n v="1"/>
    <x v="1"/>
    <x v="1"/>
    <x v="402"/>
    <n v="0"/>
  </r>
  <r>
    <x v="404"/>
    <x v="338"/>
    <x v="404"/>
    <x v="0"/>
    <x v="1"/>
    <x v="404"/>
    <s v="440 Main St"/>
    <x v="4"/>
    <x v="3"/>
    <x v="404"/>
    <n v="6"/>
    <x v="2"/>
    <x v="0"/>
    <x v="403"/>
    <n v="0"/>
  </r>
  <r>
    <x v="405"/>
    <x v="281"/>
    <x v="405"/>
    <x v="0"/>
    <x v="3"/>
    <x v="405"/>
    <s v="603 Main St"/>
    <x v="1"/>
    <x v="1"/>
    <x v="405"/>
    <n v="7"/>
    <x v="3"/>
    <x v="2"/>
    <x v="404"/>
    <n v="0"/>
  </r>
  <r>
    <x v="406"/>
    <x v="339"/>
    <x v="406"/>
    <x v="2"/>
    <x v="3"/>
    <x v="406"/>
    <s v="572 Main St"/>
    <x v="4"/>
    <x v="2"/>
    <x v="406"/>
    <n v="9"/>
    <x v="3"/>
    <x v="4"/>
    <x v="405"/>
    <n v="0"/>
  </r>
  <r>
    <x v="407"/>
    <x v="340"/>
    <x v="407"/>
    <x v="2"/>
    <x v="3"/>
    <x v="407"/>
    <s v="250 Main St"/>
    <x v="4"/>
    <x v="2"/>
    <x v="407"/>
    <n v="8"/>
    <x v="1"/>
    <x v="0"/>
    <x v="406"/>
    <n v="0"/>
  </r>
  <r>
    <x v="408"/>
    <x v="341"/>
    <x v="408"/>
    <x v="4"/>
    <x v="4"/>
    <x v="408"/>
    <s v="536 Main St"/>
    <x v="1"/>
    <x v="4"/>
    <x v="408"/>
    <n v="6"/>
    <x v="3"/>
    <x v="4"/>
    <x v="407"/>
    <n v="0"/>
  </r>
  <r>
    <x v="409"/>
    <x v="342"/>
    <x v="409"/>
    <x v="6"/>
    <x v="0"/>
    <x v="409"/>
    <s v="767 Main St"/>
    <x v="1"/>
    <x v="3"/>
    <x v="409"/>
    <n v="9"/>
    <x v="0"/>
    <x v="4"/>
    <x v="408"/>
    <n v="0"/>
  </r>
  <r>
    <x v="410"/>
    <x v="343"/>
    <x v="410"/>
    <x v="2"/>
    <x v="1"/>
    <x v="410"/>
    <s v="184 Main St"/>
    <x v="0"/>
    <x v="0"/>
    <x v="410"/>
    <n v="5"/>
    <x v="2"/>
    <x v="2"/>
    <x v="409"/>
    <n v="0"/>
  </r>
  <r>
    <x v="411"/>
    <x v="83"/>
    <x v="411"/>
    <x v="6"/>
    <x v="1"/>
    <x v="411"/>
    <s v="981 Main St"/>
    <x v="1"/>
    <x v="0"/>
    <x v="411"/>
    <n v="5"/>
    <x v="2"/>
    <x v="3"/>
    <x v="410"/>
    <n v="0"/>
  </r>
  <r>
    <x v="412"/>
    <x v="344"/>
    <x v="412"/>
    <x v="2"/>
    <x v="0"/>
    <x v="412"/>
    <s v="246 Main St"/>
    <x v="2"/>
    <x v="2"/>
    <x v="412"/>
    <n v="10"/>
    <x v="2"/>
    <x v="3"/>
    <x v="411"/>
    <n v="0"/>
  </r>
  <r>
    <x v="413"/>
    <x v="345"/>
    <x v="413"/>
    <x v="2"/>
    <x v="2"/>
    <x v="413"/>
    <s v="123 Main St"/>
    <x v="1"/>
    <x v="3"/>
    <x v="413"/>
    <n v="6"/>
    <x v="0"/>
    <x v="2"/>
    <x v="412"/>
    <n v="0"/>
  </r>
  <r>
    <x v="414"/>
    <x v="346"/>
    <x v="414"/>
    <x v="6"/>
    <x v="1"/>
    <x v="414"/>
    <s v="797 Main St"/>
    <x v="4"/>
    <x v="3"/>
    <x v="414"/>
    <n v="4"/>
    <x v="3"/>
    <x v="3"/>
    <x v="413"/>
    <n v="0"/>
  </r>
  <r>
    <x v="415"/>
    <x v="161"/>
    <x v="415"/>
    <x v="3"/>
    <x v="2"/>
    <x v="415"/>
    <s v="655 Main St"/>
    <x v="3"/>
    <x v="0"/>
    <x v="415"/>
    <n v="5"/>
    <x v="1"/>
    <x v="3"/>
    <x v="414"/>
    <n v="0"/>
  </r>
  <r>
    <x v="416"/>
    <x v="202"/>
    <x v="416"/>
    <x v="5"/>
    <x v="1"/>
    <x v="416"/>
    <s v="652 Main St"/>
    <x v="3"/>
    <x v="1"/>
    <x v="416"/>
    <n v="5"/>
    <x v="3"/>
    <x v="1"/>
    <x v="415"/>
    <n v="0"/>
  </r>
  <r>
    <x v="417"/>
    <x v="347"/>
    <x v="417"/>
    <x v="5"/>
    <x v="0"/>
    <x v="417"/>
    <s v="954 Main St"/>
    <x v="1"/>
    <x v="1"/>
    <x v="417"/>
    <n v="5"/>
    <x v="2"/>
    <x v="4"/>
    <x v="416"/>
    <n v="0"/>
  </r>
  <r>
    <x v="418"/>
    <x v="348"/>
    <x v="418"/>
    <x v="4"/>
    <x v="2"/>
    <x v="418"/>
    <s v="862 Main St"/>
    <x v="1"/>
    <x v="1"/>
    <x v="418"/>
    <n v="3"/>
    <x v="2"/>
    <x v="3"/>
    <x v="417"/>
    <n v="0"/>
  </r>
  <r>
    <x v="419"/>
    <x v="349"/>
    <x v="419"/>
    <x v="2"/>
    <x v="1"/>
    <x v="419"/>
    <s v="885 Main St"/>
    <x v="0"/>
    <x v="4"/>
    <x v="419"/>
    <n v="6"/>
    <x v="1"/>
    <x v="0"/>
    <x v="418"/>
    <n v="0"/>
  </r>
  <r>
    <x v="420"/>
    <x v="350"/>
    <x v="420"/>
    <x v="1"/>
    <x v="2"/>
    <x v="420"/>
    <s v="439 Main St"/>
    <x v="0"/>
    <x v="0"/>
    <x v="420"/>
    <n v="5"/>
    <x v="1"/>
    <x v="0"/>
    <x v="419"/>
    <n v="0"/>
  </r>
  <r>
    <x v="421"/>
    <x v="3"/>
    <x v="421"/>
    <x v="3"/>
    <x v="1"/>
    <x v="421"/>
    <s v="769 Main St"/>
    <x v="0"/>
    <x v="1"/>
    <x v="421"/>
    <n v="5"/>
    <x v="2"/>
    <x v="2"/>
    <x v="420"/>
    <n v="0"/>
  </r>
  <r>
    <x v="422"/>
    <x v="32"/>
    <x v="422"/>
    <x v="1"/>
    <x v="3"/>
    <x v="422"/>
    <s v="914 Main St"/>
    <x v="3"/>
    <x v="2"/>
    <x v="422"/>
    <n v="6"/>
    <x v="3"/>
    <x v="1"/>
    <x v="421"/>
    <n v="0"/>
  </r>
  <r>
    <x v="423"/>
    <x v="351"/>
    <x v="423"/>
    <x v="4"/>
    <x v="3"/>
    <x v="423"/>
    <s v="195 Main St"/>
    <x v="3"/>
    <x v="1"/>
    <x v="423"/>
    <n v="6"/>
    <x v="3"/>
    <x v="4"/>
    <x v="422"/>
    <n v="0"/>
  </r>
  <r>
    <x v="424"/>
    <x v="352"/>
    <x v="424"/>
    <x v="3"/>
    <x v="0"/>
    <x v="424"/>
    <s v="339 Main St"/>
    <x v="4"/>
    <x v="4"/>
    <x v="424"/>
    <n v="10"/>
    <x v="2"/>
    <x v="2"/>
    <x v="423"/>
    <n v="0"/>
  </r>
  <r>
    <x v="425"/>
    <x v="338"/>
    <x v="425"/>
    <x v="5"/>
    <x v="1"/>
    <x v="425"/>
    <s v="488 Main St"/>
    <x v="3"/>
    <x v="2"/>
    <x v="425"/>
    <n v="5"/>
    <x v="3"/>
    <x v="2"/>
    <x v="424"/>
    <n v="0"/>
  </r>
  <r>
    <x v="426"/>
    <x v="353"/>
    <x v="426"/>
    <x v="0"/>
    <x v="0"/>
    <x v="426"/>
    <s v="315 Main St"/>
    <x v="4"/>
    <x v="1"/>
    <x v="426"/>
    <n v="10"/>
    <x v="2"/>
    <x v="3"/>
    <x v="425"/>
    <n v="0"/>
  </r>
  <r>
    <x v="427"/>
    <x v="144"/>
    <x v="427"/>
    <x v="6"/>
    <x v="2"/>
    <x v="427"/>
    <s v="379 Main St"/>
    <x v="2"/>
    <x v="4"/>
    <x v="427"/>
    <n v="3"/>
    <x v="3"/>
    <x v="0"/>
    <x v="426"/>
    <n v="0"/>
  </r>
  <r>
    <x v="428"/>
    <x v="130"/>
    <x v="428"/>
    <x v="3"/>
    <x v="3"/>
    <x v="428"/>
    <s v="895 Main St"/>
    <x v="1"/>
    <x v="1"/>
    <x v="428"/>
    <n v="8"/>
    <x v="3"/>
    <x v="2"/>
    <x v="427"/>
    <n v="0"/>
  </r>
  <r>
    <x v="429"/>
    <x v="36"/>
    <x v="429"/>
    <x v="4"/>
    <x v="3"/>
    <x v="429"/>
    <s v="522 Main St"/>
    <x v="2"/>
    <x v="4"/>
    <x v="429"/>
    <n v="9"/>
    <x v="0"/>
    <x v="3"/>
    <x v="428"/>
    <n v="0"/>
  </r>
  <r>
    <x v="430"/>
    <x v="323"/>
    <x v="430"/>
    <x v="1"/>
    <x v="2"/>
    <x v="430"/>
    <s v="433 Main St"/>
    <x v="3"/>
    <x v="0"/>
    <x v="430"/>
    <n v="6"/>
    <x v="1"/>
    <x v="4"/>
    <x v="429"/>
    <n v="0"/>
  </r>
  <r>
    <x v="431"/>
    <x v="354"/>
    <x v="431"/>
    <x v="4"/>
    <x v="2"/>
    <x v="431"/>
    <s v="651 Main St"/>
    <x v="0"/>
    <x v="1"/>
    <x v="431"/>
    <n v="6"/>
    <x v="3"/>
    <x v="3"/>
    <x v="430"/>
    <n v="0"/>
  </r>
  <r>
    <x v="432"/>
    <x v="355"/>
    <x v="432"/>
    <x v="2"/>
    <x v="1"/>
    <x v="432"/>
    <s v="662 Main St"/>
    <x v="2"/>
    <x v="2"/>
    <x v="432"/>
    <n v="6"/>
    <x v="2"/>
    <x v="1"/>
    <x v="431"/>
    <n v="0"/>
  </r>
  <r>
    <x v="433"/>
    <x v="46"/>
    <x v="433"/>
    <x v="0"/>
    <x v="4"/>
    <x v="433"/>
    <s v="785 Main St"/>
    <x v="2"/>
    <x v="2"/>
    <x v="433"/>
    <n v="3"/>
    <x v="1"/>
    <x v="3"/>
    <x v="432"/>
    <n v="0"/>
  </r>
  <r>
    <x v="434"/>
    <x v="356"/>
    <x v="434"/>
    <x v="4"/>
    <x v="0"/>
    <x v="434"/>
    <s v="384 Main St"/>
    <x v="2"/>
    <x v="2"/>
    <x v="434"/>
    <n v="6"/>
    <x v="2"/>
    <x v="3"/>
    <x v="433"/>
    <n v="0"/>
  </r>
  <r>
    <x v="435"/>
    <x v="156"/>
    <x v="435"/>
    <x v="4"/>
    <x v="2"/>
    <x v="435"/>
    <s v="101 Main St"/>
    <x v="0"/>
    <x v="2"/>
    <x v="435"/>
    <n v="3"/>
    <x v="1"/>
    <x v="0"/>
    <x v="434"/>
    <n v="0"/>
  </r>
  <r>
    <x v="436"/>
    <x v="91"/>
    <x v="436"/>
    <x v="5"/>
    <x v="3"/>
    <x v="436"/>
    <s v="651 Main St"/>
    <x v="1"/>
    <x v="4"/>
    <x v="436"/>
    <n v="5"/>
    <x v="2"/>
    <x v="4"/>
    <x v="435"/>
    <n v="0"/>
  </r>
  <r>
    <x v="437"/>
    <x v="171"/>
    <x v="437"/>
    <x v="1"/>
    <x v="2"/>
    <x v="437"/>
    <s v="955 Main St"/>
    <x v="1"/>
    <x v="3"/>
    <x v="437"/>
    <n v="2"/>
    <x v="1"/>
    <x v="0"/>
    <x v="436"/>
    <n v="0"/>
  </r>
  <r>
    <x v="438"/>
    <x v="195"/>
    <x v="438"/>
    <x v="2"/>
    <x v="4"/>
    <x v="438"/>
    <s v="436 Main St"/>
    <x v="3"/>
    <x v="4"/>
    <x v="438"/>
    <n v="3"/>
    <x v="0"/>
    <x v="0"/>
    <x v="437"/>
    <n v="0"/>
  </r>
  <r>
    <x v="439"/>
    <x v="50"/>
    <x v="439"/>
    <x v="2"/>
    <x v="2"/>
    <x v="439"/>
    <s v="321 Main St"/>
    <x v="1"/>
    <x v="0"/>
    <x v="439"/>
    <n v="4"/>
    <x v="3"/>
    <x v="3"/>
    <x v="438"/>
    <n v="0"/>
  </r>
  <r>
    <x v="440"/>
    <x v="357"/>
    <x v="440"/>
    <x v="6"/>
    <x v="3"/>
    <x v="440"/>
    <s v="978 Main St"/>
    <x v="0"/>
    <x v="4"/>
    <x v="440"/>
    <n v="4"/>
    <x v="0"/>
    <x v="3"/>
    <x v="439"/>
    <n v="0"/>
  </r>
  <r>
    <x v="441"/>
    <x v="141"/>
    <x v="441"/>
    <x v="4"/>
    <x v="1"/>
    <x v="441"/>
    <s v="475 Main St"/>
    <x v="3"/>
    <x v="2"/>
    <x v="441"/>
    <n v="6"/>
    <x v="1"/>
    <x v="2"/>
    <x v="440"/>
    <n v="0"/>
  </r>
  <r>
    <x v="442"/>
    <x v="40"/>
    <x v="442"/>
    <x v="3"/>
    <x v="0"/>
    <x v="442"/>
    <s v="661 Main St"/>
    <x v="4"/>
    <x v="4"/>
    <x v="442"/>
    <n v="8"/>
    <x v="0"/>
    <x v="0"/>
    <x v="441"/>
    <n v="0"/>
  </r>
  <r>
    <x v="443"/>
    <x v="358"/>
    <x v="443"/>
    <x v="3"/>
    <x v="1"/>
    <x v="443"/>
    <s v="813 Main St"/>
    <x v="4"/>
    <x v="2"/>
    <x v="443"/>
    <n v="6"/>
    <x v="2"/>
    <x v="3"/>
    <x v="442"/>
    <n v="0"/>
  </r>
  <r>
    <x v="444"/>
    <x v="180"/>
    <x v="444"/>
    <x v="4"/>
    <x v="2"/>
    <x v="444"/>
    <s v="585 Main St"/>
    <x v="1"/>
    <x v="0"/>
    <x v="444"/>
    <n v="6"/>
    <x v="1"/>
    <x v="0"/>
    <x v="443"/>
    <n v="0"/>
  </r>
  <r>
    <x v="445"/>
    <x v="230"/>
    <x v="445"/>
    <x v="1"/>
    <x v="2"/>
    <x v="445"/>
    <s v="227 Main St"/>
    <x v="4"/>
    <x v="3"/>
    <x v="445"/>
    <n v="3"/>
    <x v="0"/>
    <x v="1"/>
    <x v="444"/>
    <n v="0"/>
  </r>
  <r>
    <x v="446"/>
    <x v="359"/>
    <x v="446"/>
    <x v="5"/>
    <x v="0"/>
    <x v="446"/>
    <s v="262 Main St"/>
    <x v="1"/>
    <x v="3"/>
    <x v="446"/>
    <n v="6"/>
    <x v="1"/>
    <x v="0"/>
    <x v="445"/>
    <n v="0"/>
  </r>
  <r>
    <x v="447"/>
    <x v="158"/>
    <x v="447"/>
    <x v="4"/>
    <x v="1"/>
    <x v="447"/>
    <s v="356 Main St"/>
    <x v="4"/>
    <x v="2"/>
    <x v="447"/>
    <n v="2"/>
    <x v="2"/>
    <x v="3"/>
    <x v="446"/>
    <n v="0"/>
  </r>
  <r>
    <x v="448"/>
    <x v="355"/>
    <x v="448"/>
    <x v="5"/>
    <x v="1"/>
    <x v="448"/>
    <s v="854 Main St"/>
    <x v="4"/>
    <x v="4"/>
    <x v="448"/>
    <n v="4"/>
    <x v="0"/>
    <x v="0"/>
    <x v="447"/>
    <n v="0"/>
  </r>
  <r>
    <x v="449"/>
    <x v="360"/>
    <x v="449"/>
    <x v="2"/>
    <x v="4"/>
    <x v="449"/>
    <s v="286 Main St"/>
    <x v="1"/>
    <x v="4"/>
    <x v="449"/>
    <n v="3"/>
    <x v="2"/>
    <x v="0"/>
    <x v="448"/>
    <n v="0"/>
  </r>
  <r>
    <x v="450"/>
    <x v="361"/>
    <x v="450"/>
    <x v="0"/>
    <x v="0"/>
    <x v="450"/>
    <s v="160 Main St"/>
    <x v="3"/>
    <x v="2"/>
    <x v="450"/>
    <n v="10"/>
    <x v="3"/>
    <x v="0"/>
    <x v="449"/>
    <n v="0"/>
  </r>
  <r>
    <x v="451"/>
    <x v="362"/>
    <x v="451"/>
    <x v="0"/>
    <x v="2"/>
    <x v="451"/>
    <s v="647 Main St"/>
    <x v="0"/>
    <x v="1"/>
    <x v="451"/>
    <n v="6"/>
    <x v="0"/>
    <x v="2"/>
    <x v="450"/>
    <n v="0"/>
  </r>
  <r>
    <x v="452"/>
    <x v="363"/>
    <x v="452"/>
    <x v="4"/>
    <x v="2"/>
    <x v="452"/>
    <s v="581 Main St"/>
    <x v="4"/>
    <x v="4"/>
    <x v="452"/>
    <n v="5"/>
    <x v="0"/>
    <x v="4"/>
    <x v="451"/>
    <n v="0"/>
  </r>
  <r>
    <x v="453"/>
    <x v="201"/>
    <x v="453"/>
    <x v="2"/>
    <x v="2"/>
    <x v="453"/>
    <s v="492 Main St"/>
    <x v="4"/>
    <x v="0"/>
    <x v="453"/>
    <n v="1"/>
    <x v="3"/>
    <x v="3"/>
    <x v="452"/>
    <n v="0"/>
  </r>
  <r>
    <x v="454"/>
    <x v="364"/>
    <x v="454"/>
    <x v="5"/>
    <x v="2"/>
    <x v="454"/>
    <s v="686 Main St"/>
    <x v="0"/>
    <x v="1"/>
    <x v="454"/>
    <n v="5"/>
    <x v="1"/>
    <x v="4"/>
    <x v="453"/>
    <n v="0"/>
  </r>
  <r>
    <x v="455"/>
    <x v="290"/>
    <x v="455"/>
    <x v="1"/>
    <x v="2"/>
    <x v="455"/>
    <s v="874 Main St"/>
    <x v="0"/>
    <x v="4"/>
    <x v="455"/>
    <n v="2"/>
    <x v="0"/>
    <x v="1"/>
    <x v="454"/>
    <n v="0"/>
  </r>
  <r>
    <x v="456"/>
    <x v="365"/>
    <x v="456"/>
    <x v="6"/>
    <x v="0"/>
    <x v="456"/>
    <s v="259 Main St"/>
    <x v="2"/>
    <x v="0"/>
    <x v="456"/>
    <n v="9"/>
    <x v="0"/>
    <x v="3"/>
    <x v="455"/>
    <n v="0"/>
  </r>
  <r>
    <x v="457"/>
    <x v="366"/>
    <x v="457"/>
    <x v="6"/>
    <x v="3"/>
    <x v="457"/>
    <s v="545 Main St"/>
    <x v="1"/>
    <x v="2"/>
    <x v="457"/>
    <n v="4"/>
    <x v="3"/>
    <x v="0"/>
    <x v="456"/>
    <n v="0"/>
  </r>
  <r>
    <x v="458"/>
    <x v="367"/>
    <x v="458"/>
    <x v="0"/>
    <x v="3"/>
    <x v="458"/>
    <s v="196 Main St"/>
    <x v="2"/>
    <x v="2"/>
    <x v="458"/>
    <n v="7"/>
    <x v="3"/>
    <x v="2"/>
    <x v="457"/>
    <n v="0"/>
  </r>
  <r>
    <x v="459"/>
    <x v="25"/>
    <x v="459"/>
    <x v="6"/>
    <x v="2"/>
    <x v="459"/>
    <s v="433 Main St"/>
    <x v="2"/>
    <x v="2"/>
    <x v="459"/>
    <n v="2"/>
    <x v="2"/>
    <x v="0"/>
    <x v="458"/>
    <n v="0"/>
  </r>
  <r>
    <x v="460"/>
    <x v="354"/>
    <x v="460"/>
    <x v="5"/>
    <x v="2"/>
    <x v="460"/>
    <s v="474 Main St"/>
    <x v="4"/>
    <x v="2"/>
    <x v="460"/>
    <n v="2"/>
    <x v="3"/>
    <x v="1"/>
    <x v="459"/>
    <n v="0"/>
  </r>
  <r>
    <x v="461"/>
    <x v="180"/>
    <x v="461"/>
    <x v="2"/>
    <x v="2"/>
    <x v="461"/>
    <s v="407 Main St"/>
    <x v="2"/>
    <x v="0"/>
    <x v="461"/>
    <n v="5"/>
    <x v="1"/>
    <x v="4"/>
    <x v="460"/>
    <n v="0"/>
  </r>
  <r>
    <x v="462"/>
    <x v="368"/>
    <x v="462"/>
    <x v="1"/>
    <x v="2"/>
    <x v="462"/>
    <s v="731 Main St"/>
    <x v="1"/>
    <x v="1"/>
    <x v="462"/>
    <n v="1"/>
    <x v="2"/>
    <x v="1"/>
    <x v="461"/>
    <n v="0"/>
  </r>
  <r>
    <x v="463"/>
    <x v="68"/>
    <x v="463"/>
    <x v="5"/>
    <x v="0"/>
    <x v="463"/>
    <s v="214 Main St"/>
    <x v="0"/>
    <x v="0"/>
    <x v="463"/>
    <n v="9"/>
    <x v="0"/>
    <x v="0"/>
    <x v="462"/>
    <n v="0"/>
  </r>
  <r>
    <x v="464"/>
    <x v="369"/>
    <x v="464"/>
    <x v="2"/>
    <x v="3"/>
    <x v="464"/>
    <s v="739 Main St"/>
    <x v="1"/>
    <x v="1"/>
    <x v="464"/>
    <n v="6"/>
    <x v="1"/>
    <x v="4"/>
    <x v="463"/>
    <n v="0"/>
  </r>
  <r>
    <x v="465"/>
    <x v="235"/>
    <x v="465"/>
    <x v="4"/>
    <x v="0"/>
    <x v="465"/>
    <s v="391 Main St"/>
    <x v="3"/>
    <x v="1"/>
    <x v="465"/>
    <n v="8"/>
    <x v="2"/>
    <x v="4"/>
    <x v="464"/>
    <n v="0"/>
  </r>
  <r>
    <x v="466"/>
    <x v="202"/>
    <x v="466"/>
    <x v="1"/>
    <x v="2"/>
    <x v="466"/>
    <s v="895 Main St"/>
    <x v="4"/>
    <x v="3"/>
    <x v="466"/>
    <n v="4"/>
    <x v="1"/>
    <x v="1"/>
    <x v="465"/>
    <n v="0"/>
  </r>
  <r>
    <x v="467"/>
    <x v="225"/>
    <x v="467"/>
    <x v="6"/>
    <x v="2"/>
    <x v="467"/>
    <s v="572 Main St"/>
    <x v="4"/>
    <x v="1"/>
    <x v="467"/>
    <n v="2"/>
    <x v="3"/>
    <x v="2"/>
    <x v="466"/>
    <n v="0"/>
  </r>
  <r>
    <x v="468"/>
    <x v="370"/>
    <x v="468"/>
    <x v="1"/>
    <x v="2"/>
    <x v="468"/>
    <s v="998 Main St"/>
    <x v="2"/>
    <x v="3"/>
    <x v="468"/>
    <n v="5"/>
    <x v="1"/>
    <x v="2"/>
    <x v="467"/>
    <n v="0"/>
  </r>
  <r>
    <x v="469"/>
    <x v="371"/>
    <x v="469"/>
    <x v="3"/>
    <x v="0"/>
    <x v="469"/>
    <s v="893 Main St"/>
    <x v="4"/>
    <x v="1"/>
    <x v="469"/>
    <n v="5"/>
    <x v="2"/>
    <x v="3"/>
    <x v="468"/>
    <n v="0"/>
  </r>
  <r>
    <x v="470"/>
    <x v="372"/>
    <x v="470"/>
    <x v="2"/>
    <x v="3"/>
    <x v="470"/>
    <s v="672 Main St"/>
    <x v="4"/>
    <x v="0"/>
    <x v="470"/>
    <n v="5"/>
    <x v="0"/>
    <x v="2"/>
    <x v="469"/>
    <n v="0"/>
  </r>
  <r>
    <x v="471"/>
    <x v="373"/>
    <x v="471"/>
    <x v="6"/>
    <x v="0"/>
    <x v="471"/>
    <s v="395 Main St"/>
    <x v="1"/>
    <x v="1"/>
    <x v="471"/>
    <n v="7"/>
    <x v="1"/>
    <x v="1"/>
    <x v="470"/>
    <n v="0"/>
  </r>
  <r>
    <x v="472"/>
    <x v="374"/>
    <x v="472"/>
    <x v="3"/>
    <x v="4"/>
    <x v="472"/>
    <s v="796 Main St"/>
    <x v="2"/>
    <x v="1"/>
    <x v="472"/>
    <n v="8"/>
    <x v="1"/>
    <x v="1"/>
    <x v="471"/>
    <n v="0"/>
  </r>
  <r>
    <x v="473"/>
    <x v="86"/>
    <x v="473"/>
    <x v="3"/>
    <x v="1"/>
    <x v="473"/>
    <s v="449 Main St"/>
    <x v="1"/>
    <x v="0"/>
    <x v="473"/>
    <n v="4"/>
    <x v="2"/>
    <x v="3"/>
    <x v="472"/>
    <n v="0"/>
  </r>
  <r>
    <x v="474"/>
    <x v="375"/>
    <x v="474"/>
    <x v="4"/>
    <x v="4"/>
    <x v="474"/>
    <s v="398 Main St"/>
    <x v="2"/>
    <x v="0"/>
    <x v="474"/>
    <n v="6"/>
    <x v="0"/>
    <x v="1"/>
    <x v="473"/>
    <n v="0"/>
  </r>
  <r>
    <x v="475"/>
    <x v="373"/>
    <x v="475"/>
    <x v="2"/>
    <x v="1"/>
    <x v="475"/>
    <s v="363 Main St"/>
    <x v="4"/>
    <x v="1"/>
    <x v="475"/>
    <n v="3"/>
    <x v="0"/>
    <x v="3"/>
    <x v="474"/>
    <n v="0"/>
  </r>
  <r>
    <x v="476"/>
    <x v="361"/>
    <x v="476"/>
    <x v="1"/>
    <x v="1"/>
    <x v="476"/>
    <s v="867 Main St"/>
    <x v="1"/>
    <x v="2"/>
    <x v="476"/>
    <n v="4"/>
    <x v="1"/>
    <x v="1"/>
    <x v="475"/>
    <n v="0"/>
  </r>
  <r>
    <x v="477"/>
    <x v="376"/>
    <x v="477"/>
    <x v="1"/>
    <x v="1"/>
    <x v="477"/>
    <s v="481 Main St"/>
    <x v="1"/>
    <x v="0"/>
    <x v="477"/>
    <n v="5"/>
    <x v="0"/>
    <x v="4"/>
    <x v="476"/>
    <n v="0"/>
  </r>
  <r>
    <x v="478"/>
    <x v="377"/>
    <x v="478"/>
    <x v="2"/>
    <x v="4"/>
    <x v="478"/>
    <s v="914 Main St"/>
    <x v="3"/>
    <x v="0"/>
    <x v="478"/>
    <n v="6"/>
    <x v="1"/>
    <x v="1"/>
    <x v="477"/>
    <n v="0"/>
  </r>
  <r>
    <x v="479"/>
    <x v="378"/>
    <x v="479"/>
    <x v="0"/>
    <x v="3"/>
    <x v="479"/>
    <s v="943 Main St"/>
    <x v="2"/>
    <x v="4"/>
    <x v="479"/>
    <n v="8"/>
    <x v="2"/>
    <x v="4"/>
    <x v="478"/>
    <n v="0"/>
  </r>
  <r>
    <x v="480"/>
    <x v="379"/>
    <x v="480"/>
    <x v="3"/>
    <x v="2"/>
    <x v="480"/>
    <s v="126 Main St"/>
    <x v="0"/>
    <x v="4"/>
    <x v="480"/>
    <n v="6"/>
    <x v="1"/>
    <x v="1"/>
    <x v="479"/>
    <n v="0"/>
  </r>
  <r>
    <x v="481"/>
    <x v="295"/>
    <x v="481"/>
    <x v="5"/>
    <x v="3"/>
    <x v="481"/>
    <s v="317 Main St"/>
    <x v="0"/>
    <x v="3"/>
    <x v="481"/>
    <n v="5"/>
    <x v="3"/>
    <x v="1"/>
    <x v="480"/>
    <n v="0"/>
  </r>
  <r>
    <x v="482"/>
    <x v="380"/>
    <x v="482"/>
    <x v="0"/>
    <x v="4"/>
    <x v="482"/>
    <s v="989 Main St"/>
    <x v="1"/>
    <x v="4"/>
    <x v="482"/>
    <n v="6"/>
    <x v="2"/>
    <x v="0"/>
    <x v="481"/>
    <n v="0"/>
  </r>
  <r>
    <x v="483"/>
    <x v="381"/>
    <x v="483"/>
    <x v="1"/>
    <x v="0"/>
    <x v="483"/>
    <s v="982 Main St"/>
    <x v="4"/>
    <x v="4"/>
    <x v="483"/>
    <n v="6"/>
    <x v="3"/>
    <x v="4"/>
    <x v="482"/>
    <n v="0"/>
  </r>
  <r>
    <x v="484"/>
    <x v="382"/>
    <x v="484"/>
    <x v="3"/>
    <x v="3"/>
    <x v="484"/>
    <s v="767 Main St"/>
    <x v="4"/>
    <x v="1"/>
    <x v="484"/>
    <n v="6"/>
    <x v="2"/>
    <x v="3"/>
    <x v="483"/>
    <n v="0"/>
  </r>
  <r>
    <x v="485"/>
    <x v="383"/>
    <x v="485"/>
    <x v="3"/>
    <x v="4"/>
    <x v="485"/>
    <s v="764 Main St"/>
    <x v="4"/>
    <x v="0"/>
    <x v="485"/>
    <n v="6"/>
    <x v="0"/>
    <x v="0"/>
    <x v="484"/>
    <n v="0"/>
  </r>
  <r>
    <x v="486"/>
    <x v="384"/>
    <x v="486"/>
    <x v="4"/>
    <x v="3"/>
    <x v="486"/>
    <s v="558 Main St"/>
    <x v="4"/>
    <x v="0"/>
    <x v="486"/>
    <n v="5"/>
    <x v="0"/>
    <x v="1"/>
    <x v="485"/>
    <n v="0"/>
  </r>
  <r>
    <x v="487"/>
    <x v="338"/>
    <x v="487"/>
    <x v="4"/>
    <x v="4"/>
    <x v="487"/>
    <s v="211 Main St"/>
    <x v="2"/>
    <x v="4"/>
    <x v="487"/>
    <n v="3"/>
    <x v="0"/>
    <x v="4"/>
    <x v="486"/>
    <n v="0"/>
  </r>
  <r>
    <x v="488"/>
    <x v="194"/>
    <x v="488"/>
    <x v="3"/>
    <x v="2"/>
    <x v="488"/>
    <s v="556 Main St"/>
    <x v="1"/>
    <x v="1"/>
    <x v="488"/>
    <n v="1"/>
    <x v="3"/>
    <x v="2"/>
    <x v="487"/>
    <n v="0"/>
  </r>
  <r>
    <x v="489"/>
    <x v="189"/>
    <x v="489"/>
    <x v="2"/>
    <x v="4"/>
    <x v="489"/>
    <s v="589 Main St"/>
    <x v="3"/>
    <x v="1"/>
    <x v="489"/>
    <n v="7"/>
    <x v="3"/>
    <x v="2"/>
    <x v="488"/>
    <n v="0"/>
  </r>
  <r>
    <x v="490"/>
    <x v="319"/>
    <x v="490"/>
    <x v="3"/>
    <x v="0"/>
    <x v="490"/>
    <s v="539 Main St"/>
    <x v="1"/>
    <x v="1"/>
    <x v="490"/>
    <n v="10"/>
    <x v="2"/>
    <x v="3"/>
    <x v="489"/>
    <n v="0"/>
  </r>
  <r>
    <x v="491"/>
    <x v="314"/>
    <x v="491"/>
    <x v="1"/>
    <x v="0"/>
    <x v="491"/>
    <s v="481 Main St"/>
    <x v="4"/>
    <x v="4"/>
    <x v="491"/>
    <n v="5"/>
    <x v="3"/>
    <x v="3"/>
    <x v="490"/>
    <n v="0"/>
  </r>
  <r>
    <x v="492"/>
    <x v="385"/>
    <x v="492"/>
    <x v="5"/>
    <x v="0"/>
    <x v="492"/>
    <s v="103 Main St"/>
    <x v="0"/>
    <x v="0"/>
    <x v="492"/>
    <n v="6"/>
    <x v="0"/>
    <x v="0"/>
    <x v="491"/>
    <n v="0"/>
  </r>
  <r>
    <x v="493"/>
    <x v="386"/>
    <x v="493"/>
    <x v="1"/>
    <x v="2"/>
    <x v="493"/>
    <s v="372 Main St"/>
    <x v="2"/>
    <x v="4"/>
    <x v="493"/>
    <n v="4"/>
    <x v="1"/>
    <x v="3"/>
    <x v="492"/>
    <n v="0"/>
  </r>
  <r>
    <x v="494"/>
    <x v="45"/>
    <x v="494"/>
    <x v="5"/>
    <x v="4"/>
    <x v="494"/>
    <s v="459 Main St"/>
    <x v="0"/>
    <x v="4"/>
    <x v="494"/>
    <n v="3"/>
    <x v="1"/>
    <x v="1"/>
    <x v="493"/>
    <n v="0"/>
  </r>
  <r>
    <x v="495"/>
    <x v="85"/>
    <x v="495"/>
    <x v="1"/>
    <x v="3"/>
    <x v="495"/>
    <s v="947 Main St"/>
    <x v="0"/>
    <x v="4"/>
    <x v="495"/>
    <n v="6"/>
    <x v="0"/>
    <x v="3"/>
    <x v="494"/>
    <n v="0"/>
  </r>
  <r>
    <x v="496"/>
    <x v="387"/>
    <x v="496"/>
    <x v="4"/>
    <x v="4"/>
    <x v="496"/>
    <s v="249 Main St"/>
    <x v="1"/>
    <x v="1"/>
    <x v="496"/>
    <n v="3"/>
    <x v="0"/>
    <x v="4"/>
    <x v="495"/>
    <n v="0"/>
  </r>
  <r>
    <x v="497"/>
    <x v="101"/>
    <x v="497"/>
    <x v="4"/>
    <x v="4"/>
    <x v="497"/>
    <s v="454 Main St"/>
    <x v="3"/>
    <x v="0"/>
    <x v="497"/>
    <n v="6"/>
    <x v="2"/>
    <x v="4"/>
    <x v="496"/>
    <n v="0"/>
  </r>
  <r>
    <x v="498"/>
    <x v="219"/>
    <x v="498"/>
    <x v="2"/>
    <x v="3"/>
    <x v="498"/>
    <s v="306 Main St"/>
    <x v="4"/>
    <x v="2"/>
    <x v="498"/>
    <n v="8"/>
    <x v="3"/>
    <x v="0"/>
    <x v="497"/>
    <n v="0"/>
  </r>
  <r>
    <x v="499"/>
    <x v="388"/>
    <x v="499"/>
    <x v="4"/>
    <x v="4"/>
    <x v="499"/>
    <s v="520 Main St"/>
    <x v="2"/>
    <x v="0"/>
    <x v="499"/>
    <n v="4"/>
    <x v="0"/>
    <x v="3"/>
    <x v="498"/>
    <n v="0"/>
  </r>
  <r>
    <x v="500"/>
    <x v="158"/>
    <x v="500"/>
    <x v="5"/>
    <x v="0"/>
    <x v="500"/>
    <s v="169 Main St"/>
    <x v="4"/>
    <x v="2"/>
    <x v="500"/>
    <n v="8"/>
    <x v="3"/>
    <x v="3"/>
    <x v="499"/>
    <n v="0"/>
  </r>
  <r>
    <x v="501"/>
    <x v="389"/>
    <x v="501"/>
    <x v="6"/>
    <x v="3"/>
    <x v="501"/>
    <s v="226 Main St"/>
    <x v="2"/>
    <x v="4"/>
    <x v="501"/>
    <n v="7"/>
    <x v="0"/>
    <x v="1"/>
    <x v="500"/>
    <n v="0"/>
  </r>
  <r>
    <x v="502"/>
    <x v="390"/>
    <x v="502"/>
    <x v="0"/>
    <x v="4"/>
    <x v="502"/>
    <s v="745 Main St"/>
    <x v="0"/>
    <x v="2"/>
    <x v="502"/>
    <n v="7"/>
    <x v="0"/>
    <x v="2"/>
    <x v="501"/>
    <n v="0"/>
  </r>
  <r>
    <x v="503"/>
    <x v="303"/>
    <x v="503"/>
    <x v="2"/>
    <x v="4"/>
    <x v="503"/>
    <s v="498 Main St"/>
    <x v="1"/>
    <x v="4"/>
    <x v="503"/>
    <n v="4"/>
    <x v="1"/>
    <x v="3"/>
    <x v="502"/>
    <n v="0"/>
  </r>
  <r>
    <x v="504"/>
    <x v="113"/>
    <x v="504"/>
    <x v="0"/>
    <x v="1"/>
    <x v="504"/>
    <s v="805 Main St"/>
    <x v="1"/>
    <x v="1"/>
    <x v="504"/>
    <n v="2"/>
    <x v="3"/>
    <x v="0"/>
    <x v="503"/>
    <n v="0"/>
  </r>
  <r>
    <x v="505"/>
    <x v="236"/>
    <x v="505"/>
    <x v="4"/>
    <x v="1"/>
    <x v="505"/>
    <s v="558 Main St"/>
    <x v="1"/>
    <x v="0"/>
    <x v="505"/>
    <n v="7"/>
    <x v="2"/>
    <x v="2"/>
    <x v="504"/>
    <n v="0"/>
  </r>
  <r>
    <x v="506"/>
    <x v="284"/>
    <x v="506"/>
    <x v="0"/>
    <x v="1"/>
    <x v="506"/>
    <s v="696 Main St"/>
    <x v="4"/>
    <x v="2"/>
    <x v="506"/>
    <n v="4"/>
    <x v="3"/>
    <x v="0"/>
    <x v="505"/>
    <n v="0"/>
  </r>
  <r>
    <x v="507"/>
    <x v="176"/>
    <x v="507"/>
    <x v="1"/>
    <x v="2"/>
    <x v="507"/>
    <s v="546 Main St"/>
    <x v="2"/>
    <x v="4"/>
    <x v="507"/>
    <n v="5"/>
    <x v="3"/>
    <x v="2"/>
    <x v="506"/>
    <n v="0"/>
  </r>
  <r>
    <x v="508"/>
    <x v="391"/>
    <x v="508"/>
    <x v="1"/>
    <x v="2"/>
    <x v="508"/>
    <s v="976 Main St"/>
    <x v="1"/>
    <x v="3"/>
    <x v="508"/>
    <n v="1"/>
    <x v="2"/>
    <x v="1"/>
    <x v="507"/>
    <n v="0"/>
  </r>
  <r>
    <x v="509"/>
    <x v="392"/>
    <x v="509"/>
    <x v="5"/>
    <x v="1"/>
    <x v="509"/>
    <s v="560 Main St"/>
    <x v="4"/>
    <x v="2"/>
    <x v="509"/>
    <n v="2"/>
    <x v="3"/>
    <x v="4"/>
    <x v="508"/>
    <n v="0"/>
  </r>
  <r>
    <x v="510"/>
    <x v="393"/>
    <x v="510"/>
    <x v="4"/>
    <x v="2"/>
    <x v="510"/>
    <s v="389 Main St"/>
    <x v="0"/>
    <x v="3"/>
    <x v="510"/>
    <n v="5"/>
    <x v="0"/>
    <x v="2"/>
    <x v="509"/>
    <n v="0"/>
  </r>
  <r>
    <x v="511"/>
    <x v="394"/>
    <x v="511"/>
    <x v="0"/>
    <x v="0"/>
    <x v="511"/>
    <s v="267 Main St"/>
    <x v="4"/>
    <x v="3"/>
    <x v="511"/>
    <n v="7"/>
    <x v="3"/>
    <x v="2"/>
    <x v="510"/>
    <n v="0"/>
  </r>
  <r>
    <x v="512"/>
    <x v="395"/>
    <x v="512"/>
    <x v="6"/>
    <x v="4"/>
    <x v="512"/>
    <s v="856 Main St"/>
    <x v="1"/>
    <x v="4"/>
    <x v="512"/>
    <n v="3"/>
    <x v="1"/>
    <x v="0"/>
    <x v="511"/>
    <n v="0"/>
  </r>
  <r>
    <x v="513"/>
    <x v="396"/>
    <x v="513"/>
    <x v="2"/>
    <x v="4"/>
    <x v="513"/>
    <s v="533 Main St"/>
    <x v="3"/>
    <x v="0"/>
    <x v="513"/>
    <n v="8"/>
    <x v="2"/>
    <x v="1"/>
    <x v="512"/>
    <n v="0"/>
  </r>
  <r>
    <x v="514"/>
    <x v="397"/>
    <x v="514"/>
    <x v="4"/>
    <x v="4"/>
    <x v="514"/>
    <s v="492 Main St"/>
    <x v="3"/>
    <x v="0"/>
    <x v="514"/>
    <n v="3"/>
    <x v="3"/>
    <x v="0"/>
    <x v="513"/>
    <n v="0"/>
  </r>
  <r>
    <x v="515"/>
    <x v="369"/>
    <x v="515"/>
    <x v="1"/>
    <x v="4"/>
    <x v="515"/>
    <s v="160 Main St"/>
    <x v="3"/>
    <x v="0"/>
    <x v="515"/>
    <n v="4"/>
    <x v="1"/>
    <x v="3"/>
    <x v="514"/>
    <n v="0"/>
  </r>
  <r>
    <x v="516"/>
    <x v="158"/>
    <x v="516"/>
    <x v="0"/>
    <x v="4"/>
    <x v="516"/>
    <s v="208 Main St"/>
    <x v="4"/>
    <x v="2"/>
    <x v="516"/>
    <n v="8"/>
    <x v="2"/>
    <x v="3"/>
    <x v="515"/>
    <n v="0"/>
  </r>
  <r>
    <x v="517"/>
    <x v="398"/>
    <x v="517"/>
    <x v="2"/>
    <x v="3"/>
    <x v="517"/>
    <s v="943 Main St"/>
    <x v="4"/>
    <x v="1"/>
    <x v="517"/>
    <n v="7"/>
    <x v="1"/>
    <x v="4"/>
    <x v="516"/>
    <n v="0"/>
  </r>
  <r>
    <x v="518"/>
    <x v="399"/>
    <x v="518"/>
    <x v="4"/>
    <x v="3"/>
    <x v="518"/>
    <s v="319 Main St"/>
    <x v="1"/>
    <x v="4"/>
    <x v="518"/>
    <n v="9"/>
    <x v="0"/>
    <x v="1"/>
    <x v="517"/>
    <n v="0"/>
  </r>
  <r>
    <x v="519"/>
    <x v="400"/>
    <x v="519"/>
    <x v="5"/>
    <x v="3"/>
    <x v="519"/>
    <s v="941 Main St"/>
    <x v="0"/>
    <x v="2"/>
    <x v="519"/>
    <n v="5"/>
    <x v="0"/>
    <x v="2"/>
    <x v="518"/>
    <n v="0"/>
  </r>
  <r>
    <x v="520"/>
    <x v="401"/>
    <x v="520"/>
    <x v="0"/>
    <x v="4"/>
    <x v="520"/>
    <s v="959 Main St"/>
    <x v="4"/>
    <x v="2"/>
    <x v="520"/>
    <n v="5"/>
    <x v="2"/>
    <x v="1"/>
    <x v="519"/>
    <n v="0"/>
  </r>
  <r>
    <x v="521"/>
    <x v="402"/>
    <x v="521"/>
    <x v="1"/>
    <x v="2"/>
    <x v="521"/>
    <s v="991 Main St"/>
    <x v="2"/>
    <x v="0"/>
    <x v="521"/>
    <n v="2"/>
    <x v="2"/>
    <x v="3"/>
    <x v="520"/>
    <n v="0"/>
  </r>
  <r>
    <x v="522"/>
    <x v="322"/>
    <x v="522"/>
    <x v="3"/>
    <x v="2"/>
    <x v="522"/>
    <s v="740 Main St"/>
    <x v="3"/>
    <x v="1"/>
    <x v="522"/>
    <n v="1"/>
    <x v="1"/>
    <x v="2"/>
    <x v="521"/>
    <n v="0"/>
  </r>
  <r>
    <x v="523"/>
    <x v="403"/>
    <x v="523"/>
    <x v="6"/>
    <x v="3"/>
    <x v="523"/>
    <s v="652 Main St"/>
    <x v="2"/>
    <x v="2"/>
    <x v="523"/>
    <n v="6"/>
    <x v="3"/>
    <x v="4"/>
    <x v="522"/>
    <n v="0"/>
  </r>
  <r>
    <x v="524"/>
    <x v="385"/>
    <x v="524"/>
    <x v="1"/>
    <x v="2"/>
    <x v="524"/>
    <s v="103 Main St"/>
    <x v="2"/>
    <x v="2"/>
    <x v="524"/>
    <n v="4"/>
    <x v="2"/>
    <x v="1"/>
    <x v="523"/>
    <n v="0"/>
  </r>
  <r>
    <x v="525"/>
    <x v="404"/>
    <x v="525"/>
    <x v="0"/>
    <x v="2"/>
    <x v="525"/>
    <s v="160 Main St"/>
    <x v="0"/>
    <x v="0"/>
    <x v="525"/>
    <n v="1"/>
    <x v="0"/>
    <x v="2"/>
    <x v="524"/>
    <n v="0"/>
  </r>
  <r>
    <x v="526"/>
    <x v="405"/>
    <x v="526"/>
    <x v="6"/>
    <x v="1"/>
    <x v="526"/>
    <s v="837 Main St"/>
    <x v="4"/>
    <x v="2"/>
    <x v="526"/>
    <n v="7"/>
    <x v="3"/>
    <x v="4"/>
    <x v="525"/>
    <n v="0"/>
  </r>
  <r>
    <x v="527"/>
    <x v="406"/>
    <x v="527"/>
    <x v="3"/>
    <x v="0"/>
    <x v="527"/>
    <s v="967 Main St"/>
    <x v="2"/>
    <x v="1"/>
    <x v="527"/>
    <n v="10"/>
    <x v="0"/>
    <x v="1"/>
    <x v="526"/>
    <n v="0"/>
  </r>
  <r>
    <x v="528"/>
    <x v="407"/>
    <x v="528"/>
    <x v="3"/>
    <x v="2"/>
    <x v="528"/>
    <s v="686 Main St"/>
    <x v="2"/>
    <x v="2"/>
    <x v="528"/>
    <n v="2"/>
    <x v="0"/>
    <x v="1"/>
    <x v="527"/>
    <n v="0"/>
  </r>
  <r>
    <x v="529"/>
    <x v="158"/>
    <x v="529"/>
    <x v="2"/>
    <x v="1"/>
    <x v="529"/>
    <s v="938 Main St"/>
    <x v="4"/>
    <x v="4"/>
    <x v="529"/>
    <n v="4"/>
    <x v="1"/>
    <x v="4"/>
    <x v="528"/>
    <n v="0"/>
  </r>
  <r>
    <x v="530"/>
    <x v="408"/>
    <x v="530"/>
    <x v="3"/>
    <x v="3"/>
    <x v="530"/>
    <s v="613 Main St"/>
    <x v="1"/>
    <x v="4"/>
    <x v="530"/>
    <n v="9"/>
    <x v="2"/>
    <x v="4"/>
    <x v="529"/>
    <n v="0"/>
  </r>
  <r>
    <x v="531"/>
    <x v="367"/>
    <x v="531"/>
    <x v="6"/>
    <x v="0"/>
    <x v="531"/>
    <s v="722 Main St"/>
    <x v="3"/>
    <x v="3"/>
    <x v="531"/>
    <n v="6"/>
    <x v="2"/>
    <x v="1"/>
    <x v="530"/>
    <n v="0"/>
  </r>
  <r>
    <x v="532"/>
    <x v="120"/>
    <x v="532"/>
    <x v="5"/>
    <x v="1"/>
    <x v="532"/>
    <s v="369 Main St"/>
    <x v="1"/>
    <x v="3"/>
    <x v="532"/>
    <n v="7"/>
    <x v="2"/>
    <x v="2"/>
    <x v="531"/>
    <n v="0"/>
  </r>
  <r>
    <x v="533"/>
    <x v="409"/>
    <x v="533"/>
    <x v="6"/>
    <x v="2"/>
    <x v="533"/>
    <s v="715 Main St"/>
    <x v="3"/>
    <x v="2"/>
    <x v="533"/>
    <n v="1"/>
    <x v="1"/>
    <x v="3"/>
    <x v="532"/>
    <n v="0"/>
  </r>
  <r>
    <x v="534"/>
    <x v="309"/>
    <x v="534"/>
    <x v="3"/>
    <x v="4"/>
    <x v="534"/>
    <s v="906 Main St"/>
    <x v="0"/>
    <x v="1"/>
    <x v="534"/>
    <n v="4"/>
    <x v="0"/>
    <x v="2"/>
    <x v="533"/>
    <n v="0"/>
  </r>
  <r>
    <x v="535"/>
    <x v="25"/>
    <x v="535"/>
    <x v="0"/>
    <x v="4"/>
    <x v="535"/>
    <s v="332 Main St"/>
    <x v="1"/>
    <x v="1"/>
    <x v="535"/>
    <n v="3"/>
    <x v="1"/>
    <x v="2"/>
    <x v="534"/>
    <n v="0"/>
  </r>
  <r>
    <x v="536"/>
    <x v="410"/>
    <x v="536"/>
    <x v="3"/>
    <x v="2"/>
    <x v="536"/>
    <s v="124 Main St"/>
    <x v="4"/>
    <x v="2"/>
    <x v="536"/>
    <n v="6"/>
    <x v="2"/>
    <x v="2"/>
    <x v="535"/>
    <n v="0"/>
  </r>
  <r>
    <x v="537"/>
    <x v="411"/>
    <x v="537"/>
    <x v="2"/>
    <x v="4"/>
    <x v="537"/>
    <s v="385 Main St"/>
    <x v="1"/>
    <x v="3"/>
    <x v="537"/>
    <n v="4"/>
    <x v="0"/>
    <x v="3"/>
    <x v="536"/>
    <n v="0"/>
  </r>
  <r>
    <x v="538"/>
    <x v="75"/>
    <x v="538"/>
    <x v="1"/>
    <x v="4"/>
    <x v="538"/>
    <s v="100 Main St"/>
    <x v="4"/>
    <x v="0"/>
    <x v="538"/>
    <n v="3"/>
    <x v="3"/>
    <x v="2"/>
    <x v="537"/>
    <n v="0"/>
  </r>
  <r>
    <x v="539"/>
    <x v="403"/>
    <x v="539"/>
    <x v="6"/>
    <x v="4"/>
    <x v="539"/>
    <s v="473 Main St"/>
    <x v="3"/>
    <x v="3"/>
    <x v="539"/>
    <n v="7"/>
    <x v="0"/>
    <x v="4"/>
    <x v="538"/>
    <n v="0"/>
  </r>
  <r>
    <x v="540"/>
    <x v="412"/>
    <x v="540"/>
    <x v="5"/>
    <x v="0"/>
    <x v="540"/>
    <s v="852 Main St"/>
    <x v="1"/>
    <x v="4"/>
    <x v="540"/>
    <n v="7"/>
    <x v="2"/>
    <x v="1"/>
    <x v="539"/>
    <n v="0"/>
  </r>
  <r>
    <x v="541"/>
    <x v="413"/>
    <x v="541"/>
    <x v="4"/>
    <x v="0"/>
    <x v="541"/>
    <s v="879 Main St"/>
    <x v="4"/>
    <x v="4"/>
    <x v="541"/>
    <n v="10"/>
    <x v="2"/>
    <x v="0"/>
    <x v="540"/>
    <n v="0"/>
  </r>
  <r>
    <x v="542"/>
    <x v="414"/>
    <x v="542"/>
    <x v="2"/>
    <x v="2"/>
    <x v="542"/>
    <s v="934 Main St"/>
    <x v="4"/>
    <x v="1"/>
    <x v="542"/>
    <n v="6"/>
    <x v="1"/>
    <x v="2"/>
    <x v="541"/>
    <n v="0"/>
  </r>
  <r>
    <x v="543"/>
    <x v="415"/>
    <x v="543"/>
    <x v="6"/>
    <x v="0"/>
    <x v="543"/>
    <s v="354 Main St"/>
    <x v="4"/>
    <x v="0"/>
    <x v="543"/>
    <n v="6"/>
    <x v="3"/>
    <x v="3"/>
    <x v="542"/>
    <n v="0"/>
  </r>
  <r>
    <x v="544"/>
    <x v="416"/>
    <x v="544"/>
    <x v="4"/>
    <x v="0"/>
    <x v="544"/>
    <s v="373 Main St"/>
    <x v="2"/>
    <x v="2"/>
    <x v="544"/>
    <n v="5"/>
    <x v="1"/>
    <x v="1"/>
    <x v="543"/>
    <n v="0"/>
  </r>
  <r>
    <x v="545"/>
    <x v="263"/>
    <x v="545"/>
    <x v="0"/>
    <x v="1"/>
    <x v="545"/>
    <s v="964 Main St"/>
    <x v="4"/>
    <x v="2"/>
    <x v="545"/>
    <n v="3"/>
    <x v="2"/>
    <x v="0"/>
    <x v="544"/>
    <n v="0"/>
  </r>
  <r>
    <x v="546"/>
    <x v="417"/>
    <x v="546"/>
    <x v="0"/>
    <x v="2"/>
    <x v="546"/>
    <s v="928 Main St"/>
    <x v="2"/>
    <x v="2"/>
    <x v="546"/>
    <n v="6"/>
    <x v="3"/>
    <x v="0"/>
    <x v="545"/>
    <n v="0"/>
  </r>
  <r>
    <x v="547"/>
    <x v="38"/>
    <x v="547"/>
    <x v="1"/>
    <x v="2"/>
    <x v="547"/>
    <s v="411 Main St"/>
    <x v="1"/>
    <x v="3"/>
    <x v="547"/>
    <n v="4"/>
    <x v="1"/>
    <x v="3"/>
    <x v="546"/>
    <n v="0"/>
  </r>
  <r>
    <x v="548"/>
    <x v="80"/>
    <x v="548"/>
    <x v="4"/>
    <x v="4"/>
    <x v="548"/>
    <s v="922 Main St"/>
    <x v="1"/>
    <x v="3"/>
    <x v="548"/>
    <n v="5"/>
    <x v="3"/>
    <x v="0"/>
    <x v="547"/>
    <n v="0"/>
  </r>
  <r>
    <x v="549"/>
    <x v="86"/>
    <x v="549"/>
    <x v="0"/>
    <x v="3"/>
    <x v="549"/>
    <s v="550 Main St"/>
    <x v="0"/>
    <x v="1"/>
    <x v="549"/>
    <n v="8"/>
    <x v="3"/>
    <x v="0"/>
    <x v="548"/>
    <n v="0"/>
  </r>
  <r>
    <x v="550"/>
    <x v="418"/>
    <x v="550"/>
    <x v="5"/>
    <x v="3"/>
    <x v="550"/>
    <s v="573 Main St"/>
    <x v="4"/>
    <x v="0"/>
    <x v="550"/>
    <n v="4"/>
    <x v="1"/>
    <x v="4"/>
    <x v="549"/>
    <n v="0"/>
  </r>
  <r>
    <x v="551"/>
    <x v="419"/>
    <x v="551"/>
    <x v="5"/>
    <x v="2"/>
    <x v="551"/>
    <s v="353 Main St"/>
    <x v="0"/>
    <x v="3"/>
    <x v="551"/>
    <n v="6"/>
    <x v="3"/>
    <x v="2"/>
    <x v="550"/>
    <n v="0"/>
  </r>
  <r>
    <x v="552"/>
    <x v="420"/>
    <x v="552"/>
    <x v="3"/>
    <x v="3"/>
    <x v="552"/>
    <s v="560 Main St"/>
    <x v="1"/>
    <x v="2"/>
    <x v="552"/>
    <n v="8"/>
    <x v="3"/>
    <x v="3"/>
    <x v="551"/>
    <n v="0"/>
  </r>
  <r>
    <x v="553"/>
    <x v="421"/>
    <x v="553"/>
    <x v="1"/>
    <x v="1"/>
    <x v="553"/>
    <s v="828 Main St"/>
    <x v="3"/>
    <x v="1"/>
    <x v="553"/>
    <n v="4"/>
    <x v="1"/>
    <x v="1"/>
    <x v="552"/>
    <n v="0"/>
  </r>
  <r>
    <x v="554"/>
    <x v="422"/>
    <x v="554"/>
    <x v="5"/>
    <x v="1"/>
    <x v="554"/>
    <s v="610 Main St"/>
    <x v="4"/>
    <x v="2"/>
    <x v="554"/>
    <n v="5"/>
    <x v="1"/>
    <x v="0"/>
    <x v="553"/>
    <n v="0"/>
  </r>
  <r>
    <x v="555"/>
    <x v="33"/>
    <x v="555"/>
    <x v="2"/>
    <x v="2"/>
    <x v="555"/>
    <s v="333 Main St"/>
    <x v="4"/>
    <x v="0"/>
    <x v="555"/>
    <n v="2"/>
    <x v="2"/>
    <x v="3"/>
    <x v="554"/>
    <n v="0"/>
  </r>
  <r>
    <x v="556"/>
    <x v="423"/>
    <x v="556"/>
    <x v="5"/>
    <x v="2"/>
    <x v="556"/>
    <s v="932 Main St"/>
    <x v="3"/>
    <x v="4"/>
    <x v="556"/>
    <n v="2"/>
    <x v="0"/>
    <x v="3"/>
    <x v="555"/>
    <n v="0"/>
  </r>
  <r>
    <x v="557"/>
    <x v="282"/>
    <x v="557"/>
    <x v="2"/>
    <x v="2"/>
    <x v="557"/>
    <s v="130 Main St"/>
    <x v="0"/>
    <x v="4"/>
    <x v="557"/>
    <n v="1"/>
    <x v="3"/>
    <x v="3"/>
    <x v="556"/>
    <n v="0"/>
  </r>
  <r>
    <x v="558"/>
    <x v="424"/>
    <x v="558"/>
    <x v="1"/>
    <x v="3"/>
    <x v="558"/>
    <s v="485 Main St"/>
    <x v="1"/>
    <x v="3"/>
    <x v="558"/>
    <n v="6"/>
    <x v="3"/>
    <x v="0"/>
    <x v="557"/>
    <n v="0"/>
  </r>
  <r>
    <x v="559"/>
    <x v="116"/>
    <x v="559"/>
    <x v="6"/>
    <x v="4"/>
    <x v="559"/>
    <s v="454 Main St"/>
    <x v="0"/>
    <x v="1"/>
    <x v="559"/>
    <n v="7"/>
    <x v="3"/>
    <x v="2"/>
    <x v="558"/>
    <n v="0"/>
  </r>
  <r>
    <x v="560"/>
    <x v="425"/>
    <x v="560"/>
    <x v="0"/>
    <x v="3"/>
    <x v="560"/>
    <s v="524 Main St"/>
    <x v="3"/>
    <x v="4"/>
    <x v="560"/>
    <n v="7"/>
    <x v="2"/>
    <x v="2"/>
    <x v="559"/>
    <n v="0"/>
  </r>
  <r>
    <x v="561"/>
    <x v="425"/>
    <x v="561"/>
    <x v="4"/>
    <x v="1"/>
    <x v="561"/>
    <s v="198 Main St"/>
    <x v="1"/>
    <x v="0"/>
    <x v="561"/>
    <n v="2"/>
    <x v="2"/>
    <x v="4"/>
    <x v="560"/>
    <n v="0"/>
  </r>
  <r>
    <x v="562"/>
    <x v="426"/>
    <x v="562"/>
    <x v="5"/>
    <x v="4"/>
    <x v="562"/>
    <s v="922 Main St"/>
    <x v="3"/>
    <x v="2"/>
    <x v="562"/>
    <n v="6"/>
    <x v="1"/>
    <x v="2"/>
    <x v="561"/>
    <n v="0"/>
  </r>
  <r>
    <x v="563"/>
    <x v="427"/>
    <x v="563"/>
    <x v="5"/>
    <x v="2"/>
    <x v="563"/>
    <s v="844 Main St"/>
    <x v="0"/>
    <x v="2"/>
    <x v="563"/>
    <n v="1"/>
    <x v="0"/>
    <x v="1"/>
    <x v="562"/>
    <n v="0"/>
  </r>
  <r>
    <x v="564"/>
    <x v="428"/>
    <x v="564"/>
    <x v="6"/>
    <x v="0"/>
    <x v="564"/>
    <s v="734 Main St"/>
    <x v="2"/>
    <x v="1"/>
    <x v="564"/>
    <n v="5"/>
    <x v="3"/>
    <x v="4"/>
    <x v="563"/>
    <n v="0"/>
  </r>
  <r>
    <x v="565"/>
    <x v="429"/>
    <x v="565"/>
    <x v="2"/>
    <x v="0"/>
    <x v="565"/>
    <s v="214 Main St"/>
    <x v="1"/>
    <x v="4"/>
    <x v="565"/>
    <n v="10"/>
    <x v="2"/>
    <x v="3"/>
    <x v="564"/>
    <n v="0"/>
  </r>
  <r>
    <x v="566"/>
    <x v="171"/>
    <x v="566"/>
    <x v="1"/>
    <x v="3"/>
    <x v="566"/>
    <s v="167 Main St"/>
    <x v="4"/>
    <x v="1"/>
    <x v="566"/>
    <n v="7"/>
    <x v="1"/>
    <x v="2"/>
    <x v="565"/>
    <n v="0"/>
  </r>
  <r>
    <x v="567"/>
    <x v="430"/>
    <x v="567"/>
    <x v="3"/>
    <x v="0"/>
    <x v="567"/>
    <s v="153 Main St"/>
    <x v="4"/>
    <x v="0"/>
    <x v="567"/>
    <n v="10"/>
    <x v="1"/>
    <x v="2"/>
    <x v="566"/>
    <n v="0"/>
  </r>
  <r>
    <x v="568"/>
    <x v="401"/>
    <x v="568"/>
    <x v="5"/>
    <x v="1"/>
    <x v="568"/>
    <s v="312 Main St"/>
    <x v="1"/>
    <x v="3"/>
    <x v="568"/>
    <n v="4"/>
    <x v="2"/>
    <x v="4"/>
    <x v="567"/>
    <n v="0"/>
  </r>
  <r>
    <x v="569"/>
    <x v="29"/>
    <x v="569"/>
    <x v="6"/>
    <x v="0"/>
    <x v="569"/>
    <s v="672 Main St"/>
    <x v="4"/>
    <x v="0"/>
    <x v="569"/>
    <n v="8"/>
    <x v="0"/>
    <x v="0"/>
    <x v="568"/>
    <n v="0"/>
  </r>
  <r>
    <x v="570"/>
    <x v="431"/>
    <x v="570"/>
    <x v="6"/>
    <x v="1"/>
    <x v="570"/>
    <s v="122 Main St"/>
    <x v="0"/>
    <x v="4"/>
    <x v="570"/>
    <n v="2"/>
    <x v="0"/>
    <x v="0"/>
    <x v="569"/>
    <n v="0"/>
  </r>
  <r>
    <x v="571"/>
    <x v="432"/>
    <x v="571"/>
    <x v="2"/>
    <x v="2"/>
    <x v="571"/>
    <s v="867 Main St"/>
    <x v="3"/>
    <x v="2"/>
    <x v="571"/>
    <n v="2"/>
    <x v="3"/>
    <x v="4"/>
    <x v="570"/>
    <n v="0"/>
  </r>
  <r>
    <x v="572"/>
    <x v="433"/>
    <x v="572"/>
    <x v="4"/>
    <x v="2"/>
    <x v="572"/>
    <s v="341 Main St"/>
    <x v="4"/>
    <x v="2"/>
    <x v="572"/>
    <n v="4"/>
    <x v="3"/>
    <x v="3"/>
    <x v="571"/>
    <n v="0"/>
  </r>
  <r>
    <x v="573"/>
    <x v="261"/>
    <x v="573"/>
    <x v="3"/>
    <x v="0"/>
    <x v="573"/>
    <s v="522 Main St"/>
    <x v="0"/>
    <x v="1"/>
    <x v="573"/>
    <n v="7"/>
    <x v="2"/>
    <x v="0"/>
    <x v="572"/>
    <n v="0"/>
  </r>
  <r>
    <x v="574"/>
    <x v="434"/>
    <x v="574"/>
    <x v="3"/>
    <x v="0"/>
    <x v="574"/>
    <s v="275 Main St"/>
    <x v="2"/>
    <x v="4"/>
    <x v="574"/>
    <n v="6"/>
    <x v="1"/>
    <x v="2"/>
    <x v="573"/>
    <n v="0"/>
  </r>
  <r>
    <x v="575"/>
    <x v="323"/>
    <x v="575"/>
    <x v="3"/>
    <x v="0"/>
    <x v="575"/>
    <s v="528 Main St"/>
    <x v="3"/>
    <x v="2"/>
    <x v="575"/>
    <n v="7"/>
    <x v="0"/>
    <x v="4"/>
    <x v="574"/>
    <n v="0"/>
  </r>
  <r>
    <x v="576"/>
    <x v="382"/>
    <x v="576"/>
    <x v="5"/>
    <x v="0"/>
    <x v="576"/>
    <s v="747 Main St"/>
    <x v="4"/>
    <x v="4"/>
    <x v="576"/>
    <n v="8"/>
    <x v="2"/>
    <x v="3"/>
    <x v="575"/>
    <n v="0"/>
  </r>
  <r>
    <x v="577"/>
    <x v="55"/>
    <x v="577"/>
    <x v="2"/>
    <x v="3"/>
    <x v="577"/>
    <s v="967 Main St"/>
    <x v="1"/>
    <x v="2"/>
    <x v="577"/>
    <n v="9"/>
    <x v="3"/>
    <x v="4"/>
    <x v="576"/>
    <n v="0"/>
  </r>
  <r>
    <x v="578"/>
    <x v="84"/>
    <x v="578"/>
    <x v="0"/>
    <x v="0"/>
    <x v="578"/>
    <s v="587 Main St"/>
    <x v="2"/>
    <x v="3"/>
    <x v="578"/>
    <n v="6"/>
    <x v="0"/>
    <x v="0"/>
    <x v="577"/>
    <n v="0"/>
  </r>
  <r>
    <x v="579"/>
    <x v="243"/>
    <x v="579"/>
    <x v="2"/>
    <x v="1"/>
    <x v="579"/>
    <s v="413 Main St"/>
    <x v="1"/>
    <x v="0"/>
    <x v="579"/>
    <n v="4"/>
    <x v="3"/>
    <x v="3"/>
    <x v="578"/>
    <n v="0"/>
  </r>
  <r>
    <x v="580"/>
    <x v="414"/>
    <x v="580"/>
    <x v="0"/>
    <x v="1"/>
    <x v="580"/>
    <s v="340 Main St"/>
    <x v="2"/>
    <x v="3"/>
    <x v="580"/>
    <n v="4"/>
    <x v="0"/>
    <x v="0"/>
    <x v="579"/>
    <n v="0"/>
  </r>
  <r>
    <x v="581"/>
    <x v="435"/>
    <x v="581"/>
    <x v="5"/>
    <x v="2"/>
    <x v="581"/>
    <s v="942 Main St"/>
    <x v="1"/>
    <x v="3"/>
    <x v="581"/>
    <n v="1"/>
    <x v="2"/>
    <x v="1"/>
    <x v="580"/>
    <n v="0"/>
  </r>
  <r>
    <x v="582"/>
    <x v="436"/>
    <x v="582"/>
    <x v="2"/>
    <x v="4"/>
    <x v="582"/>
    <s v="558 Main St"/>
    <x v="3"/>
    <x v="0"/>
    <x v="582"/>
    <n v="8"/>
    <x v="3"/>
    <x v="4"/>
    <x v="581"/>
    <n v="0"/>
  </r>
  <r>
    <x v="583"/>
    <x v="437"/>
    <x v="583"/>
    <x v="3"/>
    <x v="4"/>
    <x v="583"/>
    <s v="996 Main St"/>
    <x v="3"/>
    <x v="3"/>
    <x v="583"/>
    <n v="4"/>
    <x v="2"/>
    <x v="0"/>
    <x v="582"/>
    <n v="0"/>
  </r>
  <r>
    <x v="584"/>
    <x v="438"/>
    <x v="584"/>
    <x v="3"/>
    <x v="3"/>
    <x v="584"/>
    <s v="626 Main St"/>
    <x v="1"/>
    <x v="3"/>
    <x v="584"/>
    <n v="6"/>
    <x v="0"/>
    <x v="4"/>
    <x v="583"/>
    <n v="0"/>
  </r>
  <r>
    <x v="585"/>
    <x v="38"/>
    <x v="585"/>
    <x v="2"/>
    <x v="3"/>
    <x v="585"/>
    <s v="907 Main St"/>
    <x v="4"/>
    <x v="2"/>
    <x v="585"/>
    <n v="8"/>
    <x v="3"/>
    <x v="4"/>
    <x v="584"/>
    <n v="0"/>
  </r>
  <r>
    <x v="586"/>
    <x v="337"/>
    <x v="586"/>
    <x v="0"/>
    <x v="2"/>
    <x v="586"/>
    <s v="905 Main St"/>
    <x v="3"/>
    <x v="2"/>
    <x v="586"/>
    <n v="5"/>
    <x v="1"/>
    <x v="1"/>
    <x v="585"/>
    <n v="0"/>
  </r>
  <r>
    <x v="587"/>
    <x v="439"/>
    <x v="587"/>
    <x v="0"/>
    <x v="0"/>
    <x v="587"/>
    <s v="347 Main St"/>
    <x v="3"/>
    <x v="3"/>
    <x v="587"/>
    <n v="10"/>
    <x v="1"/>
    <x v="0"/>
    <x v="586"/>
    <n v="0"/>
  </r>
  <r>
    <x v="588"/>
    <x v="440"/>
    <x v="588"/>
    <x v="0"/>
    <x v="3"/>
    <x v="588"/>
    <s v="811 Main St"/>
    <x v="2"/>
    <x v="3"/>
    <x v="588"/>
    <n v="9"/>
    <x v="2"/>
    <x v="4"/>
    <x v="587"/>
    <n v="0"/>
  </r>
  <r>
    <x v="589"/>
    <x v="441"/>
    <x v="589"/>
    <x v="5"/>
    <x v="1"/>
    <x v="589"/>
    <s v="900 Main St"/>
    <x v="4"/>
    <x v="3"/>
    <x v="589"/>
    <n v="3"/>
    <x v="1"/>
    <x v="1"/>
    <x v="588"/>
    <n v="0"/>
  </r>
  <r>
    <x v="590"/>
    <x v="442"/>
    <x v="590"/>
    <x v="4"/>
    <x v="1"/>
    <x v="590"/>
    <s v="175 Main St"/>
    <x v="3"/>
    <x v="2"/>
    <x v="590"/>
    <n v="4"/>
    <x v="2"/>
    <x v="2"/>
    <x v="589"/>
    <n v="0"/>
  </r>
  <r>
    <x v="591"/>
    <x v="249"/>
    <x v="591"/>
    <x v="5"/>
    <x v="2"/>
    <x v="591"/>
    <s v="470 Main St"/>
    <x v="3"/>
    <x v="0"/>
    <x v="591"/>
    <n v="3"/>
    <x v="1"/>
    <x v="1"/>
    <x v="590"/>
    <n v="0"/>
  </r>
  <r>
    <x v="592"/>
    <x v="234"/>
    <x v="592"/>
    <x v="1"/>
    <x v="4"/>
    <x v="592"/>
    <s v="938 Main St"/>
    <x v="1"/>
    <x v="2"/>
    <x v="592"/>
    <n v="4"/>
    <x v="2"/>
    <x v="4"/>
    <x v="591"/>
    <n v="0"/>
  </r>
  <r>
    <x v="593"/>
    <x v="443"/>
    <x v="593"/>
    <x v="0"/>
    <x v="2"/>
    <x v="593"/>
    <s v="636 Main St"/>
    <x v="3"/>
    <x v="0"/>
    <x v="593"/>
    <n v="4"/>
    <x v="1"/>
    <x v="3"/>
    <x v="592"/>
    <n v="0"/>
  </r>
  <r>
    <x v="594"/>
    <x v="444"/>
    <x v="594"/>
    <x v="1"/>
    <x v="0"/>
    <x v="594"/>
    <s v="598 Main St"/>
    <x v="2"/>
    <x v="1"/>
    <x v="594"/>
    <n v="7"/>
    <x v="2"/>
    <x v="2"/>
    <x v="593"/>
    <n v="0"/>
  </r>
  <r>
    <x v="595"/>
    <x v="445"/>
    <x v="595"/>
    <x v="4"/>
    <x v="1"/>
    <x v="595"/>
    <s v="491 Main St"/>
    <x v="1"/>
    <x v="4"/>
    <x v="595"/>
    <n v="7"/>
    <x v="0"/>
    <x v="2"/>
    <x v="594"/>
    <n v="0"/>
  </r>
  <r>
    <x v="596"/>
    <x v="439"/>
    <x v="596"/>
    <x v="6"/>
    <x v="4"/>
    <x v="596"/>
    <s v="653 Main St"/>
    <x v="0"/>
    <x v="2"/>
    <x v="596"/>
    <n v="7"/>
    <x v="1"/>
    <x v="3"/>
    <x v="595"/>
    <n v="0"/>
  </r>
  <r>
    <x v="597"/>
    <x v="446"/>
    <x v="597"/>
    <x v="6"/>
    <x v="1"/>
    <x v="597"/>
    <s v="700 Main St"/>
    <x v="3"/>
    <x v="1"/>
    <x v="597"/>
    <n v="4"/>
    <x v="3"/>
    <x v="2"/>
    <x v="596"/>
    <n v="0"/>
  </r>
  <r>
    <x v="598"/>
    <x v="447"/>
    <x v="598"/>
    <x v="6"/>
    <x v="0"/>
    <x v="598"/>
    <s v="826 Main St"/>
    <x v="2"/>
    <x v="4"/>
    <x v="598"/>
    <n v="5"/>
    <x v="2"/>
    <x v="3"/>
    <x v="597"/>
    <n v="0"/>
  </r>
  <r>
    <x v="599"/>
    <x v="30"/>
    <x v="599"/>
    <x v="3"/>
    <x v="4"/>
    <x v="599"/>
    <s v="123 Main St"/>
    <x v="1"/>
    <x v="1"/>
    <x v="599"/>
    <n v="4"/>
    <x v="1"/>
    <x v="3"/>
    <x v="598"/>
    <n v="0"/>
  </r>
  <r>
    <x v="600"/>
    <x v="68"/>
    <x v="600"/>
    <x v="4"/>
    <x v="2"/>
    <x v="600"/>
    <s v="460 Main St"/>
    <x v="3"/>
    <x v="1"/>
    <x v="600"/>
    <n v="1"/>
    <x v="1"/>
    <x v="3"/>
    <x v="599"/>
    <n v="0"/>
  </r>
  <r>
    <x v="601"/>
    <x v="276"/>
    <x v="601"/>
    <x v="0"/>
    <x v="0"/>
    <x v="601"/>
    <s v="529 Main St"/>
    <x v="2"/>
    <x v="0"/>
    <x v="601"/>
    <n v="10"/>
    <x v="2"/>
    <x v="1"/>
    <x v="600"/>
    <n v="0"/>
  </r>
  <r>
    <x v="602"/>
    <x v="448"/>
    <x v="482"/>
    <x v="2"/>
    <x v="3"/>
    <x v="602"/>
    <s v="982 Main St"/>
    <x v="1"/>
    <x v="4"/>
    <x v="602"/>
    <n v="5"/>
    <x v="0"/>
    <x v="0"/>
    <x v="601"/>
    <n v="0"/>
  </r>
  <r>
    <x v="603"/>
    <x v="449"/>
    <x v="602"/>
    <x v="2"/>
    <x v="2"/>
    <x v="603"/>
    <s v="800 Main St"/>
    <x v="4"/>
    <x v="4"/>
    <x v="603"/>
    <n v="4"/>
    <x v="0"/>
    <x v="4"/>
    <x v="602"/>
    <n v="0"/>
  </r>
  <r>
    <x v="604"/>
    <x v="450"/>
    <x v="603"/>
    <x v="3"/>
    <x v="4"/>
    <x v="604"/>
    <s v="252 Main St"/>
    <x v="0"/>
    <x v="3"/>
    <x v="604"/>
    <n v="6"/>
    <x v="2"/>
    <x v="3"/>
    <x v="603"/>
    <n v="0"/>
  </r>
  <r>
    <x v="605"/>
    <x v="451"/>
    <x v="604"/>
    <x v="0"/>
    <x v="1"/>
    <x v="550"/>
    <s v="892 Main St"/>
    <x v="0"/>
    <x v="0"/>
    <x v="605"/>
    <n v="4"/>
    <x v="0"/>
    <x v="1"/>
    <x v="604"/>
    <n v="0"/>
  </r>
  <r>
    <x v="606"/>
    <x v="119"/>
    <x v="605"/>
    <x v="5"/>
    <x v="4"/>
    <x v="605"/>
    <s v="783 Main St"/>
    <x v="4"/>
    <x v="1"/>
    <x v="606"/>
    <n v="3"/>
    <x v="0"/>
    <x v="4"/>
    <x v="605"/>
    <n v="0"/>
  </r>
  <r>
    <x v="607"/>
    <x v="133"/>
    <x v="606"/>
    <x v="4"/>
    <x v="3"/>
    <x v="606"/>
    <s v="282 Main St"/>
    <x v="4"/>
    <x v="0"/>
    <x v="607"/>
    <n v="6"/>
    <x v="0"/>
    <x v="4"/>
    <x v="606"/>
    <n v="0"/>
  </r>
  <r>
    <x v="608"/>
    <x v="25"/>
    <x v="607"/>
    <x v="5"/>
    <x v="0"/>
    <x v="607"/>
    <s v="788 Main St"/>
    <x v="1"/>
    <x v="1"/>
    <x v="608"/>
    <n v="6"/>
    <x v="0"/>
    <x v="0"/>
    <x v="607"/>
    <n v="0"/>
  </r>
  <r>
    <x v="609"/>
    <x v="109"/>
    <x v="608"/>
    <x v="3"/>
    <x v="4"/>
    <x v="608"/>
    <s v="809 Main St"/>
    <x v="4"/>
    <x v="2"/>
    <x v="609"/>
    <n v="5"/>
    <x v="3"/>
    <x v="1"/>
    <x v="608"/>
    <n v="0"/>
  </r>
  <r>
    <x v="610"/>
    <x v="452"/>
    <x v="609"/>
    <x v="6"/>
    <x v="0"/>
    <x v="609"/>
    <s v="623 Main St"/>
    <x v="4"/>
    <x v="2"/>
    <x v="610"/>
    <n v="7"/>
    <x v="1"/>
    <x v="3"/>
    <x v="609"/>
    <n v="0"/>
  </r>
  <r>
    <x v="611"/>
    <x v="453"/>
    <x v="610"/>
    <x v="6"/>
    <x v="2"/>
    <x v="610"/>
    <s v="700 Main St"/>
    <x v="3"/>
    <x v="2"/>
    <x v="611"/>
    <n v="3"/>
    <x v="3"/>
    <x v="1"/>
    <x v="610"/>
    <n v="0"/>
  </r>
  <r>
    <x v="612"/>
    <x v="454"/>
    <x v="611"/>
    <x v="3"/>
    <x v="4"/>
    <x v="611"/>
    <s v="339 Main St"/>
    <x v="3"/>
    <x v="1"/>
    <x v="612"/>
    <n v="8"/>
    <x v="2"/>
    <x v="4"/>
    <x v="611"/>
    <n v="0"/>
  </r>
  <r>
    <x v="613"/>
    <x v="36"/>
    <x v="612"/>
    <x v="5"/>
    <x v="1"/>
    <x v="612"/>
    <s v="154 Main St"/>
    <x v="1"/>
    <x v="2"/>
    <x v="613"/>
    <n v="4"/>
    <x v="3"/>
    <x v="2"/>
    <x v="612"/>
    <n v="0"/>
  </r>
  <r>
    <x v="614"/>
    <x v="455"/>
    <x v="613"/>
    <x v="1"/>
    <x v="2"/>
    <x v="613"/>
    <s v="807 Main St"/>
    <x v="3"/>
    <x v="1"/>
    <x v="614"/>
    <n v="3"/>
    <x v="2"/>
    <x v="1"/>
    <x v="613"/>
    <n v="0"/>
  </r>
  <r>
    <x v="615"/>
    <x v="456"/>
    <x v="614"/>
    <x v="0"/>
    <x v="0"/>
    <x v="614"/>
    <s v="252 Main St"/>
    <x v="2"/>
    <x v="2"/>
    <x v="615"/>
    <n v="10"/>
    <x v="3"/>
    <x v="3"/>
    <x v="614"/>
    <n v="0"/>
  </r>
  <r>
    <x v="616"/>
    <x v="457"/>
    <x v="615"/>
    <x v="2"/>
    <x v="4"/>
    <x v="615"/>
    <s v="984 Main St"/>
    <x v="2"/>
    <x v="1"/>
    <x v="616"/>
    <n v="7"/>
    <x v="0"/>
    <x v="3"/>
    <x v="615"/>
    <n v="0"/>
  </r>
  <r>
    <x v="617"/>
    <x v="458"/>
    <x v="616"/>
    <x v="2"/>
    <x v="4"/>
    <x v="616"/>
    <s v="834 Main St"/>
    <x v="1"/>
    <x v="1"/>
    <x v="617"/>
    <n v="4"/>
    <x v="2"/>
    <x v="1"/>
    <x v="616"/>
    <n v="0"/>
  </r>
  <r>
    <x v="618"/>
    <x v="459"/>
    <x v="617"/>
    <x v="2"/>
    <x v="2"/>
    <x v="617"/>
    <s v="399 Main St"/>
    <x v="0"/>
    <x v="2"/>
    <x v="618"/>
    <n v="5"/>
    <x v="2"/>
    <x v="0"/>
    <x v="617"/>
    <n v="0"/>
  </r>
  <r>
    <x v="619"/>
    <x v="424"/>
    <x v="618"/>
    <x v="5"/>
    <x v="2"/>
    <x v="618"/>
    <s v="764 Main St"/>
    <x v="3"/>
    <x v="4"/>
    <x v="619"/>
    <n v="2"/>
    <x v="2"/>
    <x v="1"/>
    <x v="618"/>
    <n v="0"/>
  </r>
  <r>
    <x v="620"/>
    <x v="460"/>
    <x v="619"/>
    <x v="2"/>
    <x v="4"/>
    <x v="619"/>
    <s v="866 Main St"/>
    <x v="0"/>
    <x v="2"/>
    <x v="620"/>
    <n v="8"/>
    <x v="0"/>
    <x v="1"/>
    <x v="619"/>
    <n v="0"/>
  </r>
  <r>
    <x v="621"/>
    <x v="356"/>
    <x v="620"/>
    <x v="1"/>
    <x v="0"/>
    <x v="620"/>
    <s v="146 Main St"/>
    <x v="2"/>
    <x v="3"/>
    <x v="621"/>
    <n v="7"/>
    <x v="3"/>
    <x v="4"/>
    <x v="620"/>
    <n v="0"/>
  </r>
  <r>
    <x v="622"/>
    <x v="461"/>
    <x v="621"/>
    <x v="6"/>
    <x v="0"/>
    <x v="621"/>
    <s v="128 Main St"/>
    <x v="2"/>
    <x v="2"/>
    <x v="622"/>
    <n v="7"/>
    <x v="2"/>
    <x v="3"/>
    <x v="621"/>
    <n v="0"/>
  </r>
  <r>
    <x v="623"/>
    <x v="379"/>
    <x v="622"/>
    <x v="4"/>
    <x v="4"/>
    <x v="622"/>
    <s v="269 Main St"/>
    <x v="3"/>
    <x v="1"/>
    <x v="623"/>
    <n v="4"/>
    <x v="1"/>
    <x v="0"/>
    <x v="622"/>
    <n v="0"/>
  </r>
  <r>
    <x v="624"/>
    <x v="462"/>
    <x v="623"/>
    <x v="2"/>
    <x v="0"/>
    <x v="623"/>
    <s v="747 Main St"/>
    <x v="0"/>
    <x v="3"/>
    <x v="624"/>
    <n v="6"/>
    <x v="2"/>
    <x v="2"/>
    <x v="623"/>
    <n v="0"/>
  </r>
  <r>
    <x v="625"/>
    <x v="463"/>
    <x v="624"/>
    <x v="2"/>
    <x v="2"/>
    <x v="624"/>
    <s v="519 Main St"/>
    <x v="2"/>
    <x v="4"/>
    <x v="625"/>
    <n v="1"/>
    <x v="3"/>
    <x v="2"/>
    <x v="624"/>
    <n v="0"/>
  </r>
  <r>
    <x v="626"/>
    <x v="417"/>
    <x v="625"/>
    <x v="2"/>
    <x v="1"/>
    <x v="625"/>
    <s v="769 Main St"/>
    <x v="1"/>
    <x v="0"/>
    <x v="626"/>
    <n v="5"/>
    <x v="0"/>
    <x v="1"/>
    <x v="625"/>
    <n v="0"/>
  </r>
  <r>
    <x v="627"/>
    <x v="464"/>
    <x v="626"/>
    <x v="3"/>
    <x v="4"/>
    <x v="626"/>
    <s v="879 Main St"/>
    <x v="1"/>
    <x v="2"/>
    <x v="627"/>
    <n v="4"/>
    <x v="1"/>
    <x v="2"/>
    <x v="626"/>
    <n v="0"/>
  </r>
  <r>
    <x v="628"/>
    <x v="465"/>
    <x v="627"/>
    <x v="4"/>
    <x v="0"/>
    <x v="627"/>
    <s v="861 Main St"/>
    <x v="4"/>
    <x v="4"/>
    <x v="628"/>
    <n v="8"/>
    <x v="1"/>
    <x v="1"/>
    <x v="627"/>
    <n v="0"/>
  </r>
  <r>
    <x v="629"/>
    <x v="466"/>
    <x v="628"/>
    <x v="1"/>
    <x v="4"/>
    <x v="628"/>
    <s v="840 Main St"/>
    <x v="1"/>
    <x v="4"/>
    <x v="629"/>
    <n v="3"/>
    <x v="2"/>
    <x v="1"/>
    <x v="628"/>
    <n v="0"/>
  </r>
  <r>
    <x v="630"/>
    <x v="467"/>
    <x v="629"/>
    <x v="0"/>
    <x v="0"/>
    <x v="629"/>
    <s v="140 Main St"/>
    <x v="0"/>
    <x v="1"/>
    <x v="630"/>
    <n v="10"/>
    <x v="2"/>
    <x v="0"/>
    <x v="629"/>
    <n v="0"/>
  </r>
  <r>
    <x v="631"/>
    <x v="169"/>
    <x v="630"/>
    <x v="3"/>
    <x v="4"/>
    <x v="630"/>
    <s v="360 Main St"/>
    <x v="3"/>
    <x v="2"/>
    <x v="631"/>
    <n v="5"/>
    <x v="3"/>
    <x v="1"/>
    <x v="630"/>
    <n v="0"/>
  </r>
  <r>
    <x v="632"/>
    <x v="468"/>
    <x v="631"/>
    <x v="5"/>
    <x v="0"/>
    <x v="631"/>
    <s v="463 Main St"/>
    <x v="3"/>
    <x v="3"/>
    <x v="632"/>
    <n v="7"/>
    <x v="3"/>
    <x v="3"/>
    <x v="631"/>
    <n v="0"/>
  </r>
  <r>
    <x v="633"/>
    <x v="294"/>
    <x v="632"/>
    <x v="5"/>
    <x v="0"/>
    <x v="632"/>
    <s v="921 Main St"/>
    <x v="3"/>
    <x v="1"/>
    <x v="633"/>
    <n v="5"/>
    <x v="3"/>
    <x v="0"/>
    <x v="632"/>
    <n v="0"/>
  </r>
  <r>
    <x v="634"/>
    <x v="313"/>
    <x v="633"/>
    <x v="4"/>
    <x v="1"/>
    <x v="633"/>
    <s v="117 Main St"/>
    <x v="3"/>
    <x v="3"/>
    <x v="634"/>
    <n v="2"/>
    <x v="3"/>
    <x v="1"/>
    <x v="633"/>
    <n v="0"/>
  </r>
  <r>
    <x v="635"/>
    <x v="141"/>
    <x v="634"/>
    <x v="3"/>
    <x v="4"/>
    <x v="634"/>
    <s v="434 Main St"/>
    <x v="4"/>
    <x v="2"/>
    <x v="635"/>
    <n v="6"/>
    <x v="2"/>
    <x v="3"/>
    <x v="634"/>
    <n v="0"/>
  </r>
  <r>
    <x v="636"/>
    <x v="469"/>
    <x v="635"/>
    <x v="5"/>
    <x v="3"/>
    <x v="635"/>
    <s v="336 Main St"/>
    <x v="4"/>
    <x v="1"/>
    <x v="636"/>
    <n v="7"/>
    <x v="3"/>
    <x v="3"/>
    <x v="635"/>
    <n v="0"/>
  </r>
  <r>
    <x v="637"/>
    <x v="470"/>
    <x v="636"/>
    <x v="3"/>
    <x v="3"/>
    <x v="636"/>
    <s v="784 Main St"/>
    <x v="3"/>
    <x v="0"/>
    <x v="637"/>
    <n v="7"/>
    <x v="3"/>
    <x v="1"/>
    <x v="636"/>
    <n v="0"/>
  </r>
  <r>
    <x v="638"/>
    <x v="3"/>
    <x v="637"/>
    <x v="2"/>
    <x v="3"/>
    <x v="637"/>
    <s v="547 Main St"/>
    <x v="1"/>
    <x v="3"/>
    <x v="638"/>
    <n v="9"/>
    <x v="3"/>
    <x v="2"/>
    <x v="637"/>
    <n v="0"/>
  </r>
  <r>
    <x v="639"/>
    <x v="325"/>
    <x v="638"/>
    <x v="3"/>
    <x v="2"/>
    <x v="638"/>
    <s v="391 Main St"/>
    <x v="4"/>
    <x v="1"/>
    <x v="639"/>
    <n v="5"/>
    <x v="2"/>
    <x v="1"/>
    <x v="638"/>
    <n v="0"/>
  </r>
  <r>
    <x v="640"/>
    <x v="2"/>
    <x v="639"/>
    <x v="3"/>
    <x v="1"/>
    <x v="639"/>
    <s v="647 Main St"/>
    <x v="3"/>
    <x v="2"/>
    <x v="640"/>
    <n v="6"/>
    <x v="0"/>
    <x v="1"/>
    <x v="639"/>
    <n v="0"/>
  </r>
  <r>
    <x v="641"/>
    <x v="471"/>
    <x v="640"/>
    <x v="4"/>
    <x v="3"/>
    <x v="640"/>
    <s v="814 Main St"/>
    <x v="0"/>
    <x v="4"/>
    <x v="641"/>
    <n v="9"/>
    <x v="3"/>
    <x v="4"/>
    <x v="640"/>
    <n v="0"/>
  </r>
  <r>
    <x v="642"/>
    <x v="472"/>
    <x v="641"/>
    <x v="3"/>
    <x v="0"/>
    <x v="641"/>
    <s v="527 Main St"/>
    <x v="2"/>
    <x v="1"/>
    <x v="642"/>
    <n v="7"/>
    <x v="1"/>
    <x v="2"/>
    <x v="641"/>
    <n v="0"/>
  </r>
  <r>
    <x v="643"/>
    <x v="360"/>
    <x v="642"/>
    <x v="5"/>
    <x v="2"/>
    <x v="642"/>
    <s v="647 Main St"/>
    <x v="4"/>
    <x v="1"/>
    <x v="643"/>
    <n v="4"/>
    <x v="0"/>
    <x v="1"/>
    <x v="642"/>
    <n v="0"/>
  </r>
  <r>
    <x v="644"/>
    <x v="375"/>
    <x v="643"/>
    <x v="3"/>
    <x v="1"/>
    <x v="643"/>
    <s v="961 Main St"/>
    <x v="4"/>
    <x v="0"/>
    <x v="644"/>
    <n v="2"/>
    <x v="3"/>
    <x v="2"/>
    <x v="643"/>
    <n v="0"/>
  </r>
  <r>
    <x v="645"/>
    <x v="315"/>
    <x v="644"/>
    <x v="5"/>
    <x v="1"/>
    <x v="644"/>
    <s v="727 Main St"/>
    <x v="2"/>
    <x v="1"/>
    <x v="645"/>
    <n v="4"/>
    <x v="0"/>
    <x v="3"/>
    <x v="644"/>
    <n v="0"/>
  </r>
  <r>
    <x v="646"/>
    <x v="122"/>
    <x v="645"/>
    <x v="3"/>
    <x v="3"/>
    <x v="645"/>
    <s v="804 Main St"/>
    <x v="0"/>
    <x v="0"/>
    <x v="646"/>
    <n v="4"/>
    <x v="0"/>
    <x v="4"/>
    <x v="645"/>
    <n v="0"/>
  </r>
  <r>
    <x v="647"/>
    <x v="473"/>
    <x v="646"/>
    <x v="6"/>
    <x v="4"/>
    <x v="646"/>
    <s v="667 Main St"/>
    <x v="4"/>
    <x v="2"/>
    <x v="647"/>
    <n v="7"/>
    <x v="1"/>
    <x v="4"/>
    <x v="646"/>
    <n v="0"/>
  </r>
  <r>
    <x v="648"/>
    <x v="474"/>
    <x v="647"/>
    <x v="0"/>
    <x v="1"/>
    <x v="647"/>
    <s v="182 Main St"/>
    <x v="1"/>
    <x v="3"/>
    <x v="648"/>
    <n v="3"/>
    <x v="3"/>
    <x v="1"/>
    <x v="647"/>
    <n v="0"/>
  </r>
  <r>
    <x v="649"/>
    <x v="475"/>
    <x v="648"/>
    <x v="0"/>
    <x v="1"/>
    <x v="648"/>
    <s v="153 Main St"/>
    <x v="0"/>
    <x v="2"/>
    <x v="649"/>
    <n v="7"/>
    <x v="1"/>
    <x v="2"/>
    <x v="648"/>
    <n v="0"/>
  </r>
  <r>
    <x v="650"/>
    <x v="419"/>
    <x v="649"/>
    <x v="6"/>
    <x v="1"/>
    <x v="649"/>
    <s v="518 Main St"/>
    <x v="3"/>
    <x v="3"/>
    <x v="650"/>
    <n v="7"/>
    <x v="0"/>
    <x v="2"/>
    <x v="649"/>
    <n v="0"/>
  </r>
  <r>
    <x v="651"/>
    <x v="476"/>
    <x v="650"/>
    <x v="3"/>
    <x v="4"/>
    <x v="650"/>
    <s v="429 Main St"/>
    <x v="0"/>
    <x v="4"/>
    <x v="651"/>
    <n v="5"/>
    <x v="2"/>
    <x v="4"/>
    <x v="650"/>
    <n v="0"/>
  </r>
  <r>
    <x v="652"/>
    <x v="477"/>
    <x v="651"/>
    <x v="3"/>
    <x v="0"/>
    <x v="651"/>
    <s v="328 Main St"/>
    <x v="1"/>
    <x v="0"/>
    <x v="652"/>
    <n v="8"/>
    <x v="1"/>
    <x v="0"/>
    <x v="651"/>
    <n v="0"/>
  </r>
  <r>
    <x v="653"/>
    <x v="402"/>
    <x v="652"/>
    <x v="4"/>
    <x v="4"/>
    <x v="652"/>
    <s v="747 Main St"/>
    <x v="2"/>
    <x v="0"/>
    <x v="653"/>
    <n v="6"/>
    <x v="3"/>
    <x v="4"/>
    <x v="652"/>
    <n v="0"/>
  </r>
  <r>
    <x v="654"/>
    <x v="439"/>
    <x v="653"/>
    <x v="2"/>
    <x v="4"/>
    <x v="653"/>
    <s v="863 Main St"/>
    <x v="0"/>
    <x v="2"/>
    <x v="654"/>
    <n v="8"/>
    <x v="2"/>
    <x v="0"/>
    <x v="653"/>
    <n v="0"/>
  </r>
  <r>
    <x v="655"/>
    <x v="369"/>
    <x v="654"/>
    <x v="3"/>
    <x v="1"/>
    <x v="654"/>
    <s v="262 Main St"/>
    <x v="0"/>
    <x v="1"/>
    <x v="655"/>
    <n v="4"/>
    <x v="3"/>
    <x v="2"/>
    <x v="654"/>
    <n v="0"/>
  </r>
  <r>
    <x v="656"/>
    <x v="343"/>
    <x v="655"/>
    <x v="0"/>
    <x v="1"/>
    <x v="655"/>
    <s v="835 Main St"/>
    <x v="3"/>
    <x v="0"/>
    <x v="656"/>
    <n v="7"/>
    <x v="0"/>
    <x v="3"/>
    <x v="655"/>
    <n v="0"/>
  </r>
  <r>
    <x v="657"/>
    <x v="478"/>
    <x v="656"/>
    <x v="2"/>
    <x v="3"/>
    <x v="656"/>
    <s v="532 Main St"/>
    <x v="4"/>
    <x v="1"/>
    <x v="657"/>
    <n v="6"/>
    <x v="1"/>
    <x v="0"/>
    <x v="656"/>
    <n v="0"/>
  </r>
  <r>
    <x v="658"/>
    <x v="479"/>
    <x v="657"/>
    <x v="4"/>
    <x v="1"/>
    <x v="657"/>
    <s v="670 Main St"/>
    <x v="3"/>
    <x v="2"/>
    <x v="658"/>
    <n v="4"/>
    <x v="0"/>
    <x v="4"/>
    <x v="657"/>
    <n v="0"/>
  </r>
  <r>
    <x v="659"/>
    <x v="480"/>
    <x v="658"/>
    <x v="1"/>
    <x v="1"/>
    <x v="658"/>
    <s v="964 Main St"/>
    <x v="3"/>
    <x v="3"/>
    <x v="659"/>
    <n v="4"/>
    <x v="3"/>
    <x v="2"/>
    <x v="658"/>
    <n v="0"/>
  </r>
  <r>
    <x v="660"/>
    <x v="481"/>
    <x v="659"/>
    <x v="3"/>
    <x v="1"/>
    <x v="659"/>
    <s v="933 Main St"/>
    <x v="0"/>
    <x v="0"/>
    <x v="660"/>
    <n v="7"/>
    <x v="3"/>
    <x v="3"/>
    <x v="659"/>
    <n v="0"/>
  </r>
  <r>
    <x v="661"/>
    <x v="252"/>
    <x v="660"/>
    <x v="2"/>
    <x v="4"/>
    <x v="660"/>
    <s v="116 Main St"/>
    <x v="0"/>
    <x v="1"/>
    <x v="661"/>
    <n v="6"/>
    <x v="1"/>
    <x v="4"/>
    <x v="660"/>
    <n v="0"/>
  </r>
  <r>
    <x v="662"/>
    <x v="423"/>
    <x v="661"/>
    <x v="5"/>
    <x v="4"/>
    <x v="661"/>
    <s v="985 Main St"/>
    <x v="4"/>
    <x v="2"/>
    <x v="662"/>
    <n v="3"/>
    <x v="2"/>
    <x v="3"/>
    <x v="661"/>
    <n v="0"/>
  </r>
  <r>
    <x v="663"/>
    <x v="116"/>
    <x v="662"/>
    <x v="0"/>
    <x v="2"/>
    <x v="662"/>
    <s v="941 Main St"/>
    <x v="0"/>
    <x v="1"/>
    <x v="663"/>
    <n v="6"/>
    <x v="1"/>
    <x v="0"/>
    <x v="662"/>
    <n v="0"/>
  </r>
  <r>
    <x v="664"/>
    <x v="36"/>
    <x v="236"/>
    <x v="5"/>
    <x v="3"/>
    <x v="663"/>
    <s v="188 Main St"/>
    <x v="4"/>
    <x v="0"/>
    <x v="664"/>
    <n v="5"/>
    <x v="2"/>
    <x v="3"/>
    <x v="663"/>
    <n v="0"/>
  </r>
  <r>
    <x v="665"/>
    <x v="468"/>
    <x v="663"/>
    <x v="2"/>
    <x v="3"/>
    <x v="664"/>
    <s v="253 Main St"/>
    <x v="1"/>
    <x v="0"/>
    <x v="665"/>
    <n v="6"/>
    <x v="3"/>
    <x v="4"/>
    <x v="664"/>
    <n v="0"/>
  </r>
  <r>
    <x v="666"/>
    <x v="169"/>
    <x v="664"/>
    <x v="0"/>
    <x v="3"/>
    <x v="665"/>
    <s v="788 Main St"/>
    <x v="2"/>
    <x v="1"/>
    <x v="666"/>
    <n v="4"/>
    <x v="2"/>
    <x v="2"/>
    <x v="665"/>
    <n v="0"/>
  </r>
  <r>
    <x v="667"/>
    <x v="71"/>
    <x v="665"/>
    <x v="5"/>
    <x v="2"/>
    <x v="342"/>
    <s v="172 Main St"/>
    <x v="3"/>
    <x v="4"/>
    <x v="667"/>
    <n v="5"/>
    <x v="0"/>
    <x v="2"/>
    <x v="666"/>
    <n v="0"/>
  </r>
  <r>
    <x v="668"/>
    <x v="482"/>
    <x v="666"/>
    <x v="0"/>
    <x v="1"/>
    <x v="666"/>
    <s v="981 Main St"/>
    <x v="4"/>
    <x v="2"/>
    <x v="668"/>
    <n v="3"/>
    <x v="3"/>
    <x v="3"/>
    <x v="667"/>
    <n v="0"/>
  </r>
  <r>
    <x v="669"/>
    <x v="483"/>
    <x v="667"/>
    <x v="6"/>
    <x v="2"/>
    <x v="667"/>
    <s v="812 Main St"/>
    <x v="0"/>
    <x v="1"/>
    <x v="669"/>
    <n v="5"/>
    <x v="2"/>
    <x v="1"/>
    <x v="668"/>
    <n v="0"/>
  </r>
  <r>
    <x v="670"/>
    <x v="171"/>
    <x v="668"/>
    <x v="6"/>
    <x v="3"/>
    <x v="668"/>
    <s v="747 Main St"/>
    <x v="2"/>
    <x v="4"/>
    <x v="670"/>
    <n v="8"/>
    <x v="1"/>
    <x v="4"/>
    <x v="669"/>
    <n v="0"/>
  </r>
  <r>
    <x v="671"/>
    <x v="484"/>
    <x v="669"/>
    <x v="3"/>
    <x v="0"/>
    <x v="669"/>
    <s v="737 Main St"/>
    <x v="3"/>
    <x v="1"/>
    <x v="671"/>
    <n v="7"/>
    <x v="3"/>
    <x v="4"/>
    <x v="670"/>
    <n v="0"/>
  </r>
  <r>
    <x v="672"/>
    <x v="221"/>
    <x v="670"/>
    <x v="1"/>
    <x v="1"/>
    <x v="670"/>
    <s v="984 Main St"/>
    <x v="0"/>
    <x v="0"/>
    <x v="672"/>
    <n v="2"/>
    <x v="0"/>
    <x v="0"/>
    <x v="671"/>
    <n v="0"/>
  </r>
  <r>
    <x v="673"/>
    <x v="485"/>
    <x v="671"/>
    <x v="2"/>
    <x v="1"/>
    <x v="671"/>
    <s v="131 Main St"/>
    <x v="2"/>
    <x v="3"/>
    <x v="673"/>
    <n v="7"/>
    <x v="0"/>
    <x v="2"/>
    <x v="672"/>
    <n v="0"/>
  </r>
  <r>
    <x v="674"/>
    <x v="486"/>
    <x v="672"/>
    <x v="5"/>
    <x v="3"/>
    <x v="672"/>
    <s v="860 Main St"/>
    <x v="3"/>
    <x v="3"/>
    <x v="674"/>
    <n v="9"/>
    <x v="0"/>
    <x v="3"/>
    <x v="673"/>
    <n v="0"/>
  </r>
  <r>
    <x v="675"/>
    <x v="76"/>
    <x v="673"/>
    <x v="6"/>
    <x v="4"/>
    <x v="673"/>
    <s v="906 Main St"/>
    <x v="0"/>
    <x v="4"/>
    <x v="675"/>
    <n v="5"/>
    <x v="2"/>
    <x v="2"/>
    <x v="674"/>
    <n v="0"/>
  </r>
  <r>
    <x v="676"/>
    <x v="127"/>
    <x v="674"/>
    <x v="5"/>
    <x v="1"/>
    <x v="674"/>
    <s v="985 Main St"/>
    <x v="2"/>
    <x v="1"/>
    <x v="676"/>
    <n v="4"/>
    <x v="1"/>
    <x v="0"/>
    <x v="675"/>
    <n v="0"/>
  </r>
  <r>
    <x v="677"/>
    <x v="487"/>
    <x v="675"/>
    <x v="2"/>
    <x v="0"/>
    <x v="675"/>
    <s v="179 Main St"/>
    <x v="1"/>
    <x v="1"/>
    <x v="677"/>
    <n v="7"/>
    <x v="1"/>
    <x v="0"/>
    <x v="676"/>
    <n v="0"/>
  </r>
  <r>
    <x v="678"/>
    <x v="167"/>
    <x v="676"/>
    <x v="3"/>
    <x v="4"/>
    <x v="676"/>
    <s v="457 Main St"/>
    <x v="3"/>
    <x v="0"/>
    <x v="678"/>
    <n v="5"/>
    <x v="3"/>
    <x v="3"/>
    <x v="677"/>
    <n v="0"/>
  </r>
  <r>
    <x v="679"/>
    <x v="488"/>
    <x v="677"/>
    <x v="2"/>
    <x v="4"/>
    <x v="677"/>
    <s v="304 Main St"/>
    <x v="1"/>
    <x v="2"/>
    <x v="679"/>
    <n v="5"/>
    <x v="1"/>
    <x v="0"/>
    <x v="678"/>
    <n v="0"/>
  </r>
  <r>
    <x v="680"/>
    <x v="183"/>
    <x v="678"/>
    <x v="0"/>
    <x v="4"/>
    <x v="678"/>
    <s v="694 Main St"/>
    <x v="2"/>
    <x v="2"/>
    <x v="680"/>
    <n v="3"/>
    <x v="2"/>
    <x v="3"/>
    <x v="679"/>
    <n v="0"/>
  </r>
  <r>
    <x v="681"/>
    <x v="489"/>
    <x v="679"/>
    <x v="2"/>
    <x v="2"/>
    <x v="679"/>
    <s v="548 Main St"/>
    <x v="0"/>
    <x v="0"/>
    <x v="681"/>
    <n v="6"/>
    <x v="2"/>
    <x v="2"/>
    <x v="680"/>
    <n v="0"/>
  </r>
  <r>
    <x v="682"/>
    <x v="363"/>
    <x v="680"/>
    <x v="0"/>
    <x v="4"/>
    <x v="680"/>
    <s v="449 Main St"/>
    <x v="2"/>
    <x v="1"/>
    <x v="682"/>
    <n v="5"/>
    <x v="1"/>
    <x v="4"/>
    <x v="681"/>
    <n v="0"/>
  </r>
  <r>
    <x v="683"/>
    <x v="490"/>
    <x v="681"/>
    <x v="6"/>
    <x v="3"/>
    <x v="681"/>
    <s v="887 Main St"/>
    <x v="4"/>
    <x v="4"/>
    <x v="683"/>
    <n v="5"/>
    <x v="1"/>
    <x v="0"/>
    <x v="682"/>
    <n v="0"/>
  </r>
  <r>
    <x v="684"/>
    <x v="491"/>
    <x v="682"/>
    <x v="4"/>
    <x v="3"/>
    <x v="682"/>
    <s v="288 Main St"/>
    <x v="2"/>
    <x v="0"/>
    <x v="684"/>
    <n v="8"/>
    <x v="2"/>
    <x v="2"/>
    <x v="683"/>
    <n v="0"/>
  </r>
  <r>
    <x v="685"/>
    <x v="492"/>
    <x v="683"/>
    <x v="6"/>
    <x v="2"/>
    <x v="683"/>
    <s v="638 Main St"/>
    <x v="0"/>
    <x v="0"/>
    <x v="685"/>
    <n v="5"/>
    <x v="1"/>
    <x v="2"/>
    <x v="684"/>
    <n v="0"/>
  </r>
  <r>
    <x v="686"/>
    <x v="112"/>
    <x v="684"/>
    <x v="6"/>
    <x v="4"/>
    <x v="684"/>
    <s v="525 Main St"/>
    <x v="4"/>
    <x v="4"/>
    <x v="686"/>
    <n v="4"/>
    <x v="3"/>
    <x v="3"/>
    <x v="685"/>
    <n v="0"/>
  </r>
  <r>
    <x v="687"/>
    <x v="493"/>
    <x v="685"/>
    <x v="2"/>
    <x v="2"/>
    <x v="685"/>
    <s v="408 Main St"/>
    <x v="3"/>
    <x v="2"/>
    <x v="687"/>
    <n v="5"/>
    <x v="1"/>
    <x v="0"/>
    <x v="686"/>
    <n v="0"/>
  </r>
  <r>
    <x v="688"/>
    <x v="26"/>
    <x v="686"/>
    <x v="0"/>
    <x v="3"/>
    <x v="686"/>
    <s v="154 Main St"/>
    <x v="2"/>
    <x v="1"/>
    <x v="688"/>
    <n v="8"/>
    <x v="3"/>
    <x v="3"/>
    <x v="687"/>
    <n v="0"/>
  </r>
  <r>
    <x v="689"/>
    <x v="193"/>
    <x v="687"/>
    <x v="2"/>
    <x v="1"/>
    <x v="687"/>
    <s v="787 Main St"/>
    <x v="1"/>
    <x v="0"/>
    <x v="689"/>
    <n v="7"/>
    <x v="2"/>
    <x v="3"/>
    <x v="688"/>
    <n v="0"/>
  </r>
  <r>
    <x v="690"/>
    <x v="494"/>
    <x v="688"/>
    <x v="0"/>
    <x v="2"/>
    <x v="688"/>
    <s v="128 Main St"/>
    <x v="3"/>
    <x v="2"/>
    <x v="690"/>
    <n v="1"/>
    <x v="2"/>
    <x v="0"/>
    <x v="689"/>
    <n v="0"/>
  </r>
  <r>
    <x v="691"/>
    <x v="167"/>
    <x v="689"/>
    <x v="5"/>
    <x v="4"/>
    <x v="689"/>
    <s v="396 Main St"/>
    <x v="4"/>
    <x v="0"/>
    <x v="691"/>
    <n v="8"/>
    <x v="2"/>
    <x v="4"/>
    <x v="690"/>
    <n v="0"/>
  </r>
  <r>
    <x v="692"/>
    <x v="19"/>
    <x v="690"/>
    <x v="6"/>
    <x v="0"/>
    <x v="690"/>
    <s v="319 Main St"/>
    <x v="2"/>
    <x v="3"/>
    <x v="692"/>
    <n v="5"/>
    <x v="3"/>
    <x v="0"/>
    <x v="691"/>
    <n v="0"/>
  </r>
  <r>
    <x v="693"/>
    <x v="495"/>
    <x v="691"/>
    <x v="0"/>
    <x v="2"/>
    <x v="691"/>
    <s v="674 Main St"/>
    <x v="0"/>
    <x v="2"/>
    <x v="693"/>
    <n v="4"/>
    <x v="2"/>
    <x v="1"/>
    <x v="692"/>
    <n v="0"/>
  </r>
  <r>
    <x v="694"/>
    <x v="276"/>
    <x v="692"/>
    <x v="4"/>
    <x v="3"/>
    <x v="692"/>
    <s v="619 Main St"/>
    <x v="4"/>
    <x v="0"/>
    <x v="694"/>
    <n v="8"/>
    <x v="1"/>
    <x v="2"/>
    <x v="693"/>
    <n v="0"/>
  </r>
  <r>
    <x v="695"/>
    <x v="432"/>
    <x v="693"/>
    <x v="4"/>
    <x v="0"/>
    <x v="693"/>
    <s v="553 Main St"/>
    <x v="1"/>
    <x v="0"/>
    <x v="695"/>
    <n v="7"/>
    <x v="1"/>
    <x v="2"/>
    <x v="694"/>
    <n v="0"/>
  </r>
  <r>
    <x v="696"/>
    <x v="226"/>
    <x v="694"/>
    <x v="3"/>
    <x v="3"/>
    <x v="694"/>
    <s v="965 Main St"/>
    <x v="3"/>
    <x v="4"/>
    <x v="696"/>
    <n v="9"/>
    <x v="3"/>
    <x v="3"/>
    <x v="695"/>
    <n v="0"/>
  </r>
  <r>
    <x v="697"/>
    <x v="496"/>
    <x v="695"/>
    <x v="4"/>
    <x v="0"/>
    <x v="695"/>
    <s v="788 Main St"/>
    <x v="4"/>
    <x v="0"/>
    <x v="697"/>
    <n v="6"/>
    <x v="3"/>
    <x v="2"/>
    <x v="696"/>
    <n v="0"/>
  </r>
  <r>
    <x v="698"/>
    <x v="0"/>
    <x v="696"/>
    <x v="5"/>
    <x v="1"/>
    <x v="696"/>
    <s v="169 Main St"/>
    <x v="4"/>
    <x v="3"/>
    <x v="698"/>
    <n v="2"/>
    <x v="3"/>
    <x v="0"/>
    <x v="697"/>
    <n v="0"/>
  </r>
  <r>
    <x v="699"/>
    <x v="497"/>
    <x v="697"/>
    <x v="5"/>
    <x v="4"/>
    <x v="697"/>
    <s v="897 Main St"/>
    <x v="3"/>
    <x v="1"/>
    <x v="699"/>
    <n v="3"/>
    <x v="2"/>
    <x v="3"/>
    <x v="698"/>
    <n v="0"/>
  </r>
  <r>
    <x v="700"/>
    <x v="498"/>
    <x v="698"/>
    <x v="5"/>
    <x v="1"/>
    <x v="698"/>
    <s v="555 Main St"/>
    <x v="4"/>
    <x v="2"/>
    <x v="700"/>
    <n v="3"/>
    <x v="3"/>
    <x v="0"/>
    <x v="699"/>
    <n v="0"/>
  </r>
  <r>
    <x v="701"/>
    <x v="499"/>
    <x v="699"/>
    <x v="0"/>
    <x v="4"/>
    <x v="699"/>
    <s v="115 Main St"/>
    <x v="2"/>
    <x v="3"/>
    <x v="701"/>
    <n v="5"/>
    <x v="1"/>
    <x v="2"/>
    <x v="700"/>
    <n v="0"/>
  </r>
  <r>
    <x v="702"/>
    <x v="410"/>
    <x v="700"/>
    <x v="4"/>
    <x v="4"/>
    <x v="700"/>
    <s v="154 Main St"/>
    <x v="0"/>
    <x v="2"/>
    <x v="702"/>
    <n v="6"/>
    <x v="2"/>
    <x v="2"/>
    <x v="701"/>
    <n v="0"/>
  </r>
  <r>
    <x v="703"/>
    <x v="500"/>
    <x v="701"/>
    <x v="6"/>
    <x v="2"/>
    <x v="701"/>
    <s v="799 Main St"/>
    <x v="4"/>
    <x v="4"/>
    <x v="703"/>
    <n v="3"/>
    <x v="3"/>
    <x v="2"/>
    <x v="702"/>
    <n v="0"/>
  </r>
  <r>
    <x v="704"/>
    <x v="301"/>
    <x v="702"/>
    <x v="6"/>
    <x v="3"/>
    <x v="702"/>
    <s v="819 Main St"/>
    <x v="1"/>
    <x v="3"/>
    <x v="704"/>
    <n v="9"/>
    <x v="1"/>
    <x v="4"/>
    <x v="703"/>
    <n v="0"/>
  </r>
  <r>
    <x v="705"/>
    <x v="501"/>
    <x v="703"/>
    <x v="0"/>
    <x v="1"/>
    <x v="703"/>
    <s v="420 Main St"/>
    <x v="0"/>
    <x v="2"/>
    <x v="705"/>
    <n v="7"/>
    <x v="1"/>
    <x v="0"/>
    <x v="704"/>
    <n v="0"/>
  </r>
  <r>
    <x v="706"/>
    <x v="380"/>
    <x v="704"/>
    <x v="6"/>
    <x v="0"/>
    <x v="704"/>
    <s v="969 Main St"/>
    <x v="3"/>
    <x v="2"/>
    <x v="706"/>
    <n v="9"/>
    <x v="1"/>
    <x v="3"/>
    <x v="705"/>
    <n v="0"/>
  </r>
  <r>
    <x v="707"/>
    <x v="377"/>
    <x v="705"/>
    <x v="3"/>
    <x v="3"/>
    <x v="705"/>
    <s v="989 Main St"/>
    <x v="3"/>
    <x v="1"/>
    <x v="707"/>
    <n v="6"/>
    <x v="0"/>
    <x v="3"/>
    <x v="706"/>
    <n v="0"/>
  </r>
  <r>
    <x v="708"/>
    <x v="155"/>
    <x v="706"/>
    <x v="4"/>
    <x v="2"/>
    <x v="706"/>
    <s v="788 Main St"/>
    <x v="4"/>
    <x v="4"/>
    <x v="708"/>
    <n v="3"/>
    <x v="1"/>
    <x v="0"/>
    <x v="707"/>
    <n v="0"/>
  </r>
  <r>
    <x v="709"/>
    <x v="34"/>
    <x v="707"/>
    <x v="6"/>
    <x v="2"/>
    <x v="707"/>
    <s v="855 Main St"/>
    <x v="1"/>
    <x v="4"/>
    <x v="709"/>
    <n v="4"/>
    <x v="1"/>
    <x v="4"/>
    <x v="708"/>
    <n v="0"/>
  </r>
  <r>
    <x v="710"/>
    <x v="319"/>
    <x v="708"/>
    <x v="5"/>
    <x v="0"/>
    <x v="708"/>
    <s v="113 Main St"/>
    <x v="3"/>
    <x v="2"/>
    <x v="710"/>
    <n v="10"/>
    <x v="2"/>
    <x v="4"/>
    <x v="709"/>
    <n v="0"/>
  </r>
  <r>
    <x v="711"/>
    <x v="502"/>
    <x v="709"/>
    <x v="2"/>
    <x v="1"/>
    <x v="709"/>
    <s v="632 Main St"/>
    <x v="1"/>
    <x v="0"/>
    <x v="711"/>
    <n v="2"/>
    <x v="3"/>
    <x v="4"/>
    <x v="710"/>
    <n v="0"/>
  </r>
  <r>
    <x v="712"/>
    <x v="486"/>
    <x v="557"/>
    <x v="2"/>
    <x v="1"/>
    <x v="710"/>
    <s v="993 Main St"/>
    <x v="3"/>
    <x v="4"/>
    <x v="712"/>
    <n v="7"/>
    <x v="1"/>
    <x v="2"/>
    <x v="711"/>
    <n v="0"/>
  </r>
  <r>
    <x v="713"/>
    <x v="370"/>
    <x v="710"/>
    <x v="2"/>
    <x v="3"/>
    <x v="711"/>
    <s v="638 Main St"/>
    <x v="1"/>
    <x v="1"/>
    <x v="713"/>
    <n v="6"/>
    <x v="0"/>
    <x v="3"/>
    <x v="712"/>
    <n v="0"/>
  </r>
  <r>
    <x v="714"/>
    <x v="453"/>
    <x v="711"/>
    <x v="5"/>
    <x v="2"/>
    <x v="712"/>
    <s v="278 Main St"/>
    <x v="0"/>
    <x v="4"/>
    <x v="714"/>
    <n v="1"/>
    <x v="1"/>
    <x v="3"/>
    <x v="713"/>
    <n v="0"/>
  </r>
  <r>
    <x v="715"/>
    <x v="503"/>
    <x v="712"/>
    <x v="4"/>
    <x v="4"/>
    <x v="713"/>
    <s v="281 Main St"/>
    <x v="1"/>
    <x v="3"/>
    <x v="715"/>
    <n v="7"/>
    <x v="1"/>
    <x v="2"/>
    <x v="714"/>
    <n v="0"/>
  </r>
  <r>
    <x v="716"/>
    <x v="136"/>
    <x v="713"/>
    <x v="3"/>
    <x v="4"/>
    <x v="714"/>
    <s v="891 Main St"/>
    <x v="2"/>
    <x v="4"/>
    <x v="716"/>
    <n v="4"/>
    <x v="3"/>
    <x v="4"/>
    <x v="715"/>
    <n v="0"/>
  </r>
  <r>
    <x v="717"/>
    <x v="504"/>
    <x v="714"/>
    <x v="3"/>
    <x v="4"/>
    <x v="715"/>
    <s v="707 Main St"/>
    <x v="1"/>
    <x v="3"/>
    <x v="717"/>
    <n v="4"/>
    <x v="3"/>
    <x v="2"/>
    <x v="716"/>
    <n v="0"/>
  </r>
  <r>
    <x v="718"/>
    <x v="505"/>
    <x v="715"/>
    <x v="5"/>
    <x v="3"/>
    <x v="716"/>
    <s v="718 Main St"/>
    <x v="3"/>
    <x v="1"/>
    <x v="718"/>
    <n v="8"/>
    <x v="0"/>
    <x v="4"/>
    <x v="717"/>
    <n v="0"/>
  </r>
  <r>
    <x v="719"/>
    <x v="506"/>
    <x v="716"/>
    <x v="5"/>
    <x v="1"/>
    <x v="717"/>
    <s v="703 Main St"/>
    <x v="0"/>
    <x v="0"/>
    <x v="719"/>
    <n v="3"/>
    <x v="1"/>
    <x v="3"/>
    <x v="718"/>
    <n v="0"/>
  </r>
  <r>
    <x v="720"/>
    <x v="507"/>
    <x v="717"/>
    <x v="6"/>
    <x v="0"/>
    <x v="718"/>
    <s v="305 Main St"/>
    <x v="4"/>
    <x v="4"/>
    <x v="720"/>
    <n v="10"/>
    <x v="1"/>
    <x v="0"/>
    <x v="719"/>
    <n v="0"/>
  </r>
  <r>
    <x v="721"/>
    <x v="508"/>
    <x v="718"/>
    <x v="6"/>
    <x v="1"/>
    <x v="719"/>
    <s v="890 Main St"/>
    <x v="2"/>
    <x v="3"/>
    <x v="721"/>
    <n v="2"/>
    <x v="2"/>
    <x v="2"/>
    <x v="720"/>
    <n v="0"/>
  </r>
  <r>
    <x v="722"/>
    <x v="64"/>
    <x v="719"/>
    <x v="4"/>
    <x v="2"/>
    <x v="720"/>
    <s v="516 Main St"/>
    <x v="3"/>
    <x v="4"/>
    <x v="722"/>
    <n v="1"/>
    <x v="3"/>
    <x v="0"/>
    <x v="721"/>
    <n v="0"/>
  </r>
  <r>
    <x v="723"/>
    <x v="509"/>
    <x v="720"/>
    <x v="6"/>
    <x v="4"/>
    <x v="721"/>
    <s v="385 Main St"/>
    <x v="4"/>
    <x v="2"/>
    <x v="723"/>
    <n v="8"/>
    <x v="0"/>
    <x v="1"/>
    <x v="722"/>
    <n v="0"/>
  </r>
  <r>
    <x v="724"/>
    <x v="266"/>
    <x v="721"/>
    <x v="4"/>
    <x v="4"/>
    <x v="722"/>
    <s v="326 Main St"/>
    <x v="2"/>
    <x v="2"/>
    <x v="724"/>
    <n v="4"/>
    <x v="1"/>
    <x v="1"/>
    <x v="723"/>
    <n v="0"/>
  </r>
  <r>
    <x v="725"/>
    <x v="255"/>
    <x v="722"/>
    <x v="3"/>
    <x v="1"/>
    <x v="723"/>
    <s v="372 Main St"/>
    <x v="3"/>
    <x v="2"/>
    <x v="725"/>
    <n v="5"/>
    <x v="2"/>
    <x v="1"/>
    <x v="724"/>
    <n v="0"/>
  </r>
  <r>
    <x v="726"/>
    <x v="510"/>
    <x v="723"/>
    <x v="5"/>
    <x v="3"/>
    <x v="724"/>
    <s v="338 Main St"/>
    <x v="1"/>
    <x v="3"/>
    <x v="726"/>
    <n v="4"/>
    <x v="1"/>
    <x v="3"/>
    <x v="725"/>
    <n v="0"/>
  </r>
  <r>
    <x v="727"/>
    <x v="470"/>
    <x v="724"/>
    <x v="3"/>
    <x v="0"/>
    <x v="725"/>
    <s v="379 Main St"/>
    <x v="1"/>
    <x v="0"/>
    <x v="727"/>
    <n v="8"/>
    <x v="0"/>
    <x v="0"/>
    <x v="726"/>
    <n v="0"/>
  </r>
  <r>
    <x v="728"/>
    <x v="511"/>
    <x v="725"/>
    <x v="6"/>
    <x v="3"/>
    <x v="726"/>
    <s v="827 Main St"/>
    <x v="3"/>
    <x v="0"/>
    <x v="728"/>
    <n v="8"/>
    <x v="3"/>
    <x v="2"/>
    <x v="727"/>
    <n v="0"/>
  </r>
  <r>
    <x v="729"/>
    <x v="102"/>
    <x v="726"/>
    <x v="1"/>
    <x v="3"/>
    <x v="727"/>
    <s v="819 Main St"/>
    <x v="3"/>
    <x v="4"/>
    <x v="729"/>
    <n v="6"/>
    <x v="0"/>
    <x v="4"/>
    <x v="728"/>
    <n v="0"/>
  </r>
  <r>
    <x v="730"/>
    <x v="512"/>
    <x v="727"/>
    <x v="1"/>
    <x v="2"/>
    <x v="728"/>
    <s v="407 Main St"/>
    <x v="0"/>
    <x v="3"/>
    <x v="730"/>
    <n v="4"/>
    <x v="0"/>
    <x v="2"/>
    <x v="729"/>
    <n v="0"/>
  </r>
  <r>
    <x v="731"/>
    <x v="267"/>
    <x v="728"/>
    <x v="4"/>
    <x v="0"/>
    <x v="729"/>
    <s v="308 Main St"/>
    <x v="2"/>
    <x v="2"/>
    <x v="731"/>
    <n v="8"/>
    <x v="2"/>
    <x v="2"/>
    <x v="730"/>
    <n v="0"/>
  </r>
  <r>
    <x v="732"/>
    <x v="456"/>
    <x v="729"/>
    <x v="5"/>
    <x v="2"/>
    <x v="730"/>
    <s v="787 Main St"/>
    <x v="1"/>
    <x v="3"/>
    <x v="732"/>
    <n v="2"/>
    <x v="2"/>
    <x v="4"/>
    <x v="731"/>
    <n v="0"/>
  </r>
  <r>
    <x v="733"/>
    <x v="513"/>
    <x v="730"/>
    <x v="2"/>
    <x v="3"/>
    <x v="731"/>
    <s v="694 Main St"/>
    <x v="4"/>
    <x v="2"/>
    <x v="733"/>
    <n v="8"/>
    <x v="0"/>
    <x v="2"/>
    <x v="732"/>
    <n v="0"/>
  </r>
  <r>
    <x v="734"/>
    <x v="514"/>
    <x v="731"/>
    <x v="4"/>
    <x v="3"/>
    <x v="732"/>
    <s v="630 Main St"/>
    <x v="2"/>
    <x v="2"/>
    <x v="734"/>
    <n v="6"/>
    <x v="3"/>
    <x v="3"/>
    <x v="733"/>
    <n v="0"/>
  </r>
  <r>
    <x v="735"/>
    <x v="515"/>
    <x v="732"/>
    <x v="0"/>
    <x v="3"/>
    <x v="733"/>
    <s v="359 Main St"/>
    <x v="0"/>
    <x v="4"/>
    <x v="735"/>
    <n v="6"/>
    <x v="2"/>
    <x v="2"/>
    <x v="734"/>
    <n v="0"/>
  </r>
  <r>
    <x v="736"/>
    <x v="516"/>
    <x v="733"/>
    <x v="0"/>
    <x v="0"/>
    <x v="734"/>
    <s v="696 Main St"/>
    <x v="2"/>
    <x v="4"/>
    <x v="736"/>
    <n v="6"/>
    <x v="1"/>
    <x v="4"/>
    <x v="735"/>
    <n v="0"/>
  </r>
  <r>
    <x v="737"/>
    <x v="517"/>
    <x v="734"/>
    <x v="1"/>
    <x v="3"/>
    <x v="735"/>
    <s v="972 Main St"/>
    <x v="4"/>
    <x v="4"/>
    <x v="737"/>
    <n v="9"/>
    <x v="1"/>
    <x v="0"/>
    <x v="736"/>
    <n v="0"/>
  </r>
  <r>
    <x v="738"/>
    <x v="518"/>
    <x v="735"/>
    <x v="1"/>
    <x v="1"/>
    <x v="736"/>
    <s v="264 Main St"/>
    <x v="2"/>
    <x v="0"/>
    <x v="738"/>
    <n v="5"/>
    <x v="0"/>
    <x v="2"/>
    <x v="737"/>
    <n v="0"/>
  </r>
  <r>
    <x v="739"/>
    <x v="136"/>
    <x v="736"/>
    <x v="1"/>
    <x v="3"/>
    <x v="737"/>
    <s v="513 Main St"/>
    <x v="4"/>
    <x v="3"/>
    <x v="739"/>
    <n v="4"/>
    <x v="0"/>
    <x v="3"/>
    <x v="738"/>
    <n v="0"/>
  </r>
  <r>
    <x v="740"/>
    <x v="351"/>
    <x v="737"/>
    <x v="6"/>
    <x v="1"/>
    <x v="738"/>
    <s v="433 Main St"/>
    <x v="4"/>
    <x v="4"/>
    <x v="740"/>
    <n v="7"/>
    <x v="2"/>
    <x v="4"/>
    <x v="739"/>
    <n v="0"/>
  </r>
  <r>
    <x v="741"/>
    <x v="185"/>
    <x v="738"/>
    <x v="0"/>
    <x v="0"/>
    <x v="739"/>
    <s v="945 Main St"/>
    <x v="3"/>
    <x v="3"/>
    <x v="741"/>
    <n v="10"/>
    <x v="2"/>
    <x v="1"/>
    <x v="740"/>
    <n v="0"/>
  </r>
  <r>
    <x v="742"/>
    <x v="519"/>
    <x v="739"/>
    <x v="5"/>
    <x v="4"/>
    <x v="740"/>
    <s v="726 Main St"/>
    <x v="4"/>
    <x v="2"/>
    <x v="742"/>
    <n v="7"/>
    <x v="0"/>
    <x v="4"/>
    <x v="741"/>
    <n v="0"/>
  </r>
  <r>
    <x v="743"/>
    <x v="430"/>
    <x v="740"/>
    <x v="0"/>
    <x v="2"/>
    <x v="741"/>
    <s v="549 Main St"/>
    <x v="3"/>
    <x v="2"/>
    <x v="743"/>
    <n v="1"/>
    <x v="3"/>
    <x v="0"/>
    <x v="742"/>
    <n v="0"/>
  </r>
  <r>
    <x v="744"/>
    <x v="520"/>
    <x v="741"/>
    <x v="2"/>
    <x v="1"/>
    <x v="742"/>
    <s v="200 Main St"/>
    <x v="4"/>
    <x v="3"/>
    <x v="744"/>
    <n v="5"/>
    <x v="0"/>
    <x v="4"/>
    <x v="743"/>
    <n v="0"/>
  </r>
  <r>
    <x v="745"/>
    <x v="521"/>
    <x v="742"/>
    <x v="4"/>
    <x v="3"/>
    <x v="743"/>
    <s v="364 Main St"/>
    <x v="0"/>
    <x v="4"/>
    <x v="745"/>
    <n v="7"/>
    <x v="1"/>
    <x v="2"/>
    <x v="744"/>
    <n v="0"/>
  </r>
  <r>
    <x v="746"/>
    <x v="522"/>
    <x v="743"/>
    <x v="6"/>
    <x v="4"/>
    <x v="744"/>
    <s v="551 Main St"/>
    <x v="1"/>
    <x v="1"/>
    <x v="746"/>
    <n v="6"/>
    <x v="3"/>
    <x v="1"/>
    <x v="745"/>
    <n v="0"/>
  </r>
  <r>
    <x v="747"/>
    <x v="495"/>
    <x v="744"/>
    <x v="2"/>
    <x v="1"/>
    <x v="745"/>
    <s v="940 Main St"/>
    <x v="0"/>
    <x v="3"/>
    <x v="747"/>
    <n v="7"/>
    <x v="1"/>
    <x v="0"/>
    <x v="746"/>
    <n v="0"/>
  </r>
  <r>
    <x v="748"/>
    <x v="523"/>
    <x v="745"/>
    <x v="2"/>
    <x v="4"/>
    <x v="746"/>
    <s v="249 Main St"/>
    <x v="2"/>
    <x v="0"/>
    <x v="748"/>
    <n v="8"/>
    <x v="1"/>
    <x v="1"/>
    <x v="747"/>
    <n v="0"/>
  </r>
  <r>
    <x v="749"/>
    <x v="524"/>
    <x v="746"/>
    <x v="5"/>
    <x v="2"/>
    <x v="747"/>
    <s v="997 Main St"/>
    <x v="0"/>
    <x v="4"/>
    <x v="749"/>
    <n v="4"/>
    <x v="1"/>
    <x v="0"/>
    <x v="748"/>
    <n v="0"/>
  </r>
  <r>
    <x v="750"/>
    <x v="90"/>
    <x v="747"/>
    <x v="2"/>
    <x v="3"/>
    <x v="748"/>
    <s v="637 Main St"/>
    <x v="2"/>
    <x v="2"/>
    <x v="750"/>
    <n v="7"/>
    <x v="1"/>
    <x v="2"/>
    <x v="749"/>
    <n v="0"/>
  </r>
  <r>
    <x v="751"/>
    <x v="16"/>
    <x v="748"/>
    <x v="2"/>
    <x v="1"/>
    <x v="749"/>
    <s v="455 Main St"/>
    <x v="3"/>
    <x v="4"/>
    <x v="751"/>
    <n v="7"/>
    <x v="1"/>
    <x v="3"/>
    <x v="750"/>
    <n v="0"/>
  </r>
  <r>
    <x v="752"/>
    <x v="525"/>
    <x v="749"/>
    <x v="1"/>
    <x v="3"/>
    <x v="750"/>
    <s v="299 Main St"/>
    <x v="2"/>
    <x v="3"/>
    <x v="752"/>
    <n v="8"/>
    <x v="1"/>
    <x v="4"/>
    <x v="751"/>
    <n v="0"/>
  </r>
  <r>
    <x v="753"/>
    <x v="526"/>
    <x v="750"/>
    <x v="1"/>
    <x v="1"/>
    <x v="751"/>
    <s v="864 Main St"/>
    <x v="0"/>
    <x v="2"/>
    <x v="753"/>
    <n v="7"/>
    <x v="1"/>
    <x v="0"/>
    <x v="752"/>
    <n v="0"/>
  </r>
  <r>
    <x v="754"/>
    <x v="133"/>
    <x v="751"/>
    <x v="4"/>
    <x v="1"/>
    <x v="752"/>
    <s v="983 Main St"/>
    <x v="2"/>
    <x v="2"/>
    <x v="754"/>
    <n v="3"/>
    <x v="3"/>
    <x v="2"/>
    <x v="753"/>
    <n v="0"/>
  </r>
  <r>
    <x v="755"/>
    <x v="527"/>
    <x v="752"/>
    <x v="6"/>
    <x v="4"/>
    <x v="753"/>
    <s v="658 Main St"/>
    <x v="2"/>
    <x v="4"/>
    <x v="755"/>
    <n v="4"/>
    <x v="2"/>
    <x v="2"/>
    <x v="754"/>
    <n v="0"/>
  </r>
  <r>
    <x v="756"/>
    <x v="326"/>
    <x v="753"/>
    <x v="1"/>
    <x v="2"/>
    <x v="754"/>
    <s v="202 Main St"/>
    <x v="3"/>
    <x v="0"/>
    <x v="756"/>
    <n v="6"/>
    <x v="2"/>
    <x v="4"/>
    <x v="755"/>
    <n v="0"/>
  </r>
  <r>
    <x v="757"/>
    <x v="27"/>
    <x v="754"/>
    <x v="6"/>
    <x v="2"/>
    <x v="755"/>
    <s v="597 Main St"/>
    <x v="0"/>
    <x v="3"/>
    <x v="757"/>
    <n v="2"/>
    <x v="1"/>
    <x v="4"/>
    <x v="756"/>
    <n v="0"/>
  </r>
  <r>
    <x v="758"/>
    <x v="465"/>
    <x v="755"/>
    <x v="2"/>
    <x v="4"/>
    <x v="756"/>
    <s v="917 Main St"/>
    <x v="2"/>
    <x v="1"/>
    <x v="758"/>
    <n v="8"/>
    <x v="3"/>
    <x v="3"/>
    <x v="757"/>
    <n v="0"/>
  </r>
  <r>
    <x v="759"/>
    <x v="528"/>
    <x v="756"/>
    <x v="6"/>
    <x v="4"/>
    <x v="757"/>
    <s v="366 Main St"/>
    <x v="4"/>
    <x v="4"/>
    <x v="759"/>
    <n v="3"/>
    <x v="1"/>
    <x v="3"/>
    <x v="758"/>
    <n v="0"/>
  </r>
  <r>
    <x v="760"/>
    <x v="403"/>
    <x v="757"/>
    <x v="6"/>
    <x v="2"/>
    <x v="758"/>
    <s v="283 Main St"/>
    <x v="0"/>
    <x v="1"/>
    <x v="760"/>
    <n v="5"/>
    <x v="2"/>
    <x v="4"/>
    <x v="759"/>
    <n v="0"/>
  </r>
  <r>
    <x v="761"/>
    <x v="454"/>
    <x v="758"/>
    <x v="6"/>
    <x v="3"/>
    <x v="759"/>
    <s v="217 Main St"/>
    <x v="0"/>
    <x v="3"/>
    <x v="761"/>
    <n v="7"/>
    <x v="2"/>
    <x v="4"/>
    <x v="760"/>
    <n v="0"/>
  </r>
  <r>
    <x v="762"/>
    <x v="529"/>
    <x v="759"/>
    <x v="1"/>
    <x v="4"/>
    <x v="760"/>
    <s v="611 Main St"/>
    <x v="4"/>
    <x v="2"/>
    <x v="762"/>
    <n v="8"/>
    <x v="1"/>
    <x v="2"/>
    <x v="761"/>
    <n v="0"/>
  </r>
  <r>
    <x v="763"/>
    <x v="388"/>
    <x v="760"/>
    <x v="5"/>
    <x v="2"/>
    <x v="761"/>
    <s v="533 Main St"/>
    <x v="1"/>
    <x v="3"/>
    <x v="763"/>
    <n v="4"/>
    <x v="1"/>
    <x v="2"/>
    <x v="762"/>
    <n v="0"/>
  </r>
  <r>
    <x v="764"/>
    <x v="416"/>
    <x v="761"/>
    <x v="5"/>
    <x v="0"/>
    <x v="762"/>
    <s v="806 Main St"/>
    <x v="2"/>
    <x v="1"/>
    <x v="764"/>
    <n v="10"/>
    <x v="1"/>
    <x v="2"/>
    <x v="763"/>
    <n v="0"/>
  </r>
  <r>
    <x v="765"/>
    <x v="426"/>
    <x v="762"/>
    <x v="5"/>
    <x v="1"/>
    <x v="763"/>
    <s v="281 Main St"/>
    <x v="0"/>
    <x v="2"/>
    <x v="765"/>
    <n v="5"/>
    <x v="0"/>
    <x v="4"/>
    <x v="764"/>
    <n v="0"/>
  </r>
  <r>
    <x v="766"/>
    <x v="55"/>
    <x v="763"/>
    <x v="4"/>
    <x v="1"/>
    <x v="764"/>
    <s v="494 Main St"/>
    <x v="0"/>
    <x v="4"/>
    <x v="766"/>
    <n v="3"/>
    <x v="1"/>
    <x v="1"/>
    <x v="765"/>
    <n v="0"/>
  </r>
  <r>
    <x v="767"/>
    <x v="479"/>
    <x v="764"/>
    <x v="2"/>
    <x v="1"/>
    <x v="765"/>
    <s v="517 Main St"/>
    <x v="2"/>
    <x v="3"/>
    <x v="767"/>
    <n v="7"/>
    <x v="2"/>
    <x v="0"/>
    <x v="766"/>
    <n v="0"/>
  </r>
  <r>
    <x v="768"/>
    <x v="355"/>
    <x v="765"/>
    <x v="2"/>
    <x v="0"/>
    <x v="766"/>
    <s v="165 Main St"/>
    <x v="4"/>
    <x v="1"/>
    <x v="768"/>
    <n v="9"/>
    <x v="3"/>
    <x v="2"/>
    <x v="767"/>
    <n v="0"/>
  </r>
  <r>
    <x v="769"/>
    <x v="117"/>
    <x v="766"/>
    <x v="4"/>
    <x v="3"/>
    <x v="767"/>
    <s v="568 Main St"/>
    <x v="4"/>
    <x v="3"/>
    <x v="769"/>
    <n v="5"/>
    <x v="2"/>
    <x v="2"/>
    <x v="768"/>
    <n v="0"/>
  </r>
  <r>
    <x v="770"/>
    <x v="530"/>
    <x v="767"/>
    <x v="6"/>
    <x v="2"/>
    <x v="768"/>
    <s v="227 Main St"/>
    <x v="1"/>
    <x v="2"/>
    <x v="770"/>
    <n v="6"/>
    <x v="2"/>
    <x v="4"/>
    <x v="769"/>
    <n v="0"/>
  </r>
  <r>
    <x v="771"/>
    <x v="520"/>
    <x v="768"/>
    <x v="1"/>
    <x v="4"/>
    <x v="769"/>
    <s v="272 Main St"/>
    <x v="0"/>
    <x v="1"/>
    <x v="771"/>
    <n v="8"/>
    <x v="1"/>
    <x v="4"/>
    <x v="770"/>
    <n v="0"/>
  </r>
  <r>
    <x v="772"/>
    <x v="118"/>
    <x v="769"/>
    <x v="0"/>
    <x v="2"/>
    <x v="770"/>
    <s v="461 Main St"/>
    <x v="1"/>
    <x v="3"/>
    <x v="772"/>
    <n v="4"/>
    <x v="2"/>
    <x v="0"/>
    <x v="771"/>
    <n v="0"/>
  </r>
  <r>
    <x v="773"/>
    <x v="164"/>
    <x v="770"/>
    <x v="1"/>
    <x v="1"/>
    <x v="771"/>
    <s v="415 Main St"/>
    <x v="4"/>
    <x v="1"/>
    <x v="773"/>
    <n v="7"/>
    <x v="2"/>
    <x v="3"/>
    <x v="772"/>
    <n v="0"/>
  </r>
  <r>
    <x v="774"/>
    <x v="198"/>
    <x v="771"/>
    <x v="3"/>
    <x v="4"/>
    <x v="772"/>
    <s v="257 Main St"/>
    <x v="2"/>
    <x v="1"/>
    <x v="774"/>
    <n v="3"/>
    <x v="1"/>
    <x v="0"/>
    <x v="773"/>
    <n v="0"/>
  </r>
  <r>
    <x v="775"/>
    <x v="190"/>
    <x v="772"/>
    <x v="1"/>
    <x v="1"/>
    <x v="773"/>
    <s v="569 Main St"/>
    <x v="1"/>
    <x v="1"/>
    <x v="775"/>
    <n v="5"/>
    <x v="2"/>
    <x v="4"/>
    <x v="774"/>
    <n v="0"/>
  </r>
  <r>
    <x v="776"/>
    <x v="531"/>
    <x v="773"/>
    <x v="2"/>
    <x v="2"/>
    <x v="774"/>
    <s v="482 Main St"/>
    <x v="4"/>
    <x v="2"/>
    <x v="776"/>
    <n v="5"/>
    <x v="3"/>
    <x v="4"/>
    <x v="775"/>
    <n v="0"/>
  </r>
  <r>
    <x v="777"/>
    <x v="438"/>
    <x v="774"/>
    <x v="3"/>
    <x v="0"/>
    <x v="775"/>
    <s v="633 Main St"/>
    <x v="1"/>
    <x v="1"/>
    <x v="777"/>
    <n v="7"/>
    <x v="2"/>
    <x v="3"/>
    <x v="776"/>
    <n v="0"/>
  </r>
  <r>
    <x v="778"/>
    <x v="200"/>
    <x v="775"/>
    <x v="5"/>
    <x v="3"/>
    <x v="776"/>
    <s v="316 Main St"/>
    <x v="2"/>
    <x v="0"/>
    <x v="778"/>
    <n v="8"/>
    <x v="3"/>
    <x v="4"/>
    <x v="777"/>
    <n v="0"/>
  </r>
  <r>
    <x v="779"/>
    <x v="142"/>
    <x v="776"/>
    <x v="1"/>
    <x v="4"/>
    <x v="777"/>
    <s v="751 Main St"/>
    <x v="0"/>
    <x v="4"/>
    <x v="779"/>
    <n v="8"/>
    <x v="1"/>
    <x v="2"/>
    <x v="778"/>
    <n v="0"/>
  </r>
  <r>
    <x v="780"/>
    <x v="74"/>
    <x v="777"/>
    <x v="5"/>
    <x v="3"/>
    <x v="778"/>
    <s v="661 Main St"/>
    <x v="1"/>
    <x v="1"/>
    <x v="780"/>
    <n v="4"/>
    <x v="3"/>
    <x v="4"/>
    <x v="779"/>
    <n v="0"/>
  </r>
  <r>
    <x v="781"/>
    <x v="532"/>
    <x v="778"/>
    <x v="1"/>
    <x v="0"/>
    <x v="779"/>
    <s v="934 Main St"/>
    <x v="3"/>
    <x v="3"/>
    <x v="781"/>
    <n v="5"/>
    <x v="1"/>
    <x v="1"/>
    <x v="780"/>
    <n v="0"/>
  </r>
  <r>
    <x v="782"/>
    <x v="533"/>
    <x v="779"/>
    <x v="0"/>
    <x v="1"/>
    <x v="780"/>
    <s v="167 Main St"/>
    <x v="1"/>
    <x v="2"/>
    <x v="782"/>
    <n v="6"/>
    <x v="0"/>
    <x v="1"/>
    <x v="781"/>
    <n v="0"/>
  </r>
  <r>
    <x v="783"/>
    <x v="534"/>
    <x v="780"/>
    <x v="4"/>
    <x v="2"/>
    <x v="781"/>
    <s v="281 Main St"/>
    <x v="3"/>
    <x v="2"/>
    <x v="783"/>
    <n v="5"/>
    <x v="1"/>
    <x v="3"/>
    <x v="782"/>
    <n v="0"/>
  </r>
  <r>
    <x v="784"/>
    <x v="535"/>
    <x v="781"/>
    <x v="5"/>
    <x v="2"/>
    <x v="782"/>
    <s v="232 Main St"/>
    <x v="2"/>
    <x v="4"/>
    <x v="784"/>
    <n v="1"/>
    <x v="3"/>
    <x v="1"/>
    <x v="783"/>
    <n v="0"/>
  </r>
  <r>
    <x v="785"/>
    <x v="536"/>
    <x v="782"/>
    <x v="3"/>
    <x v="2"/>
    <x v="783"/>
    <s v="342 Main St"/>
    <x v="2"/>
    <x v="4"/>
    <x v="785"/>
    <n v="1"/>
    <x v="0"/>
    <x v="0"/>
    <x v="784"/>
    <n v="0"/>
  </r>
  <r>
    <x v="786"/>
    <x v="421"/>
    <x v="783"/>
    <x v="3"/>
    <x v="0"/>
    <x v="784"/>
    <s v="774 Main St"/>
    <x v="1"/>
    <x v="1"/>
    <x v="786"/>
    <n v="8"/>
    <x v="2"/>
    <x v="1"/>
    <x v="785"/>
    <n v="0"/>
  </r>
  <r>
    <x v="787"/>
    <x v="537"/>
    <x v="784"/>
    <x v="6"/>
    <x v="3"/>
    <x v="785"/>
    <s v="193 Main St"/>
    <x v="4"/>
    <x v="3"/>
    <x v="787"/>
    <n v="7"/>
    <x v="2"/>
    <x v="4"/>
    <x v="786"/>
    <n v="0"/>
  </r>
  <r>
    <x v="788"/>
    <x v="208"/>
    <x v="785"/>
    <x v="3"/>
    <x v="1"/>
    <x v="786"/>
    <s v="761 Main St"/>
    <x v="1"/>
    <x v="4"/>
    <x v="788"/>
    <n v="5"/>
    <x v="1"/>
    <x v="0"/>
    <x v="787"/>
    <n v="0"/>
  </r>
  <r>
    <x v="789"/>
    <x v="538"/>
    <x v="786"/>
    <x v="2"/>
    <x v="0"/>
    <x v="787"/>
    <s v="183 Main St"/>
    <x v="1"/>
    <x v="3"/>
    <x v="789"/>
    <n v="10"/>
    <x v="0"/>
    <x v="2"/>
    <x v="788"/>
    <n v="0"/>
  </r>
  <r>
    <x v="790"/>
    <x v="154"/>
    <x v="787"/>
    <x v="5"/>
    <x v="3"/>
    <x v="788"/>
    <s v="302 Main St"/>
    <x v="3"/>
    <x v="4"/>
    <x v="790"/>
    <n v="4"/>
    <x v="2"/>
    <x v="4"/>
    <x v="789"/>
    <n v="0"/>
  </r>
  <r>
    <x v="791"/>
    <x v="539"/>
    <x v="788"/>
    <x v="3"/>
    <x v="3"/>
    <x v="789"/>
    <s v="956 Main St"/>
    <x v="4"/>
    <x v="4"/>
    <x v="791"/>
    <n v="8"/>
    <x v="2"/>
    <x v="2"/>
    <x v="790"/>
    <n v="0"/>
  </r>
  <r>
    <x v="792"/>
    <x v="379"/>
    <x v="789"/>
    <x v="6"/>
    <x v="1"/>
    <x v="790"/>
    <s v="746 Main St"/>
    <x v="0"/>
    <x v="2"/>
    <x v="792"/>
    <n v="6"/>
    <x v="3"/>
    <x v="3"/>
    <x v="791"/>
    <n v="0"/>
  </r>
  <r>
    <x v="793"/>
    <x v="116"/>
    <x v="790"/>
    <x v="3"/>
    <x v="0"/>
    <x v="791"/>
    <s v="769 Main St"/>
    <x v="0"/>
    <x v="3"/>
    <x v="793"/>
    <n v="8"/>
    <x v="2"/>
    <x v="1"/>
    <x v="792"/>
    <n v="0"/>
  </r>
  <r>
    <x v="794"/>
    <x v="338"/>
    <x v="791"/>
    <x v="4"/>
    <x v="3"/>
    <x v="792"/>
    <s v="988 Main St"/>
    <x v="1"/>
    <x v="3"/>
    <x v="794"/>
    <n v="9"/>
    <x v="1"/>
    <x v="0"/>
    <x v="793"/>
    <n v="0"/>
  </r>
  <r>
    <x v="795"/>
    <x v="540"/>
    <x v="792"/>
    <x v="5"/>
    <x v="3"/>
    <x v="793"/>
    <s v="586 Main St"/>
    <x v="1"/>
    <x v="4"/>
    <x v="795"/>
    <n v="7"/>
    <x v="0"/>
    <x v="0"/>
    <x v="794"/>
    <n v="0"/>
  </r>
  <r>
    <x v="796"/>
    <x v="541"/>
    <x v="793"/>
    <x v="1"/>
    <x v="4"/>
    <x v="794"/>
    <s v="882 Main St"/>
    <x v="3"/>
    <x v="2"/>
    <x v="796"/>
    <n v="8"/>
    <x v="3"/>
    <x v="3"/>
    <x v="795"/>
    <n v="0"/>
  </r>
  <r>
    <x v="797"/>
    <x v="146"/>
    <x v="794"/>
    <x v="5"/>
    <x v="1"/>
    <x v="795"/>
    <s v="426 Main St"/>
    <x v="0"/>
    <x v="2"/>
    <x v="797"/>
    <n v="2"/>
    <x v="2"/>
    <x v="3"/>
    <x v="796"/>
    <n v="0"/>
  </r>
  <r>
    <x v="798"/>
    <x v="542"/>
    <x v="795"/>
    <x v="1"/>
    <x v="0"/>
    <x v="796"/>
    <s v="968 Main St"/>
    <x v="0"/>
    <x v="2"/>
    <x v="798"/>
    <n v="9"/>
    <x v="1"/>
    <x v="2"/>
    <x v="797"/>
    <n v="0"/>
  </r>
  <r>
    <x v="799"/>
    <x v="397"/>
    <x v="796"/>
    <x v="5"/>
    <x v="3"/>
    <x v="797"/>
    <s v="803 Main St"/>
    <x v="0"/>
    <x v="2"/>
    <x v="799"/>
    <n v="4"/>
    <x v="1"/>
    <x v="2"/>
    <x v="798"/>
    <n v="0"/>
  </r>
  <r>
    <x v="800"/>
    <x v="210"/>
    <x v="797"/>
    <x v="2"/>
    <x v="2"/>
    <x v="798"/>
    <s v="412 Main St"/>
    <x v="1"/>
    <x v="2"/>
    <x v="800"/>
    <n v="3"/>
    <x v="3"/>
    <x v="3"/>
    <x v="799"/>
    <n v="0"/>
  </r>
  <r>
    <x v="801"/>
    <x v="71"/>
    <x v="27"/>
    <x v="4"/>
    <x v="3"/>
    <x v="799"/>
    <s v="738 Main St"/>
    <x v="0"/>
    <x v="4"/>
    <x v="801"/>
    <n v="8"/>
    <x v="1"/>
    <x v="3"/>
    <x v="800"/>
    <n v="0"/>
  </r>
  <r>
    <x v="802"/>
    <x v="11"/>
    <x v="798"/>
    <x v="3"/>
    <x v="0"/>
    <x v="800"/>
    <s v="205 Main St"/>
    <x v="3"/>
    <x v="1"/>
    <x v="802"/>
    <n v="6"/>
    <x v="1"/>
    <x v="2"/>
    <x v="801"/>
    <n v="0"/>
  </r>
  <r>
    <x v="803"/>
    <x v="38"/>
    <x v="799"/>
    <x v="0"/>
    <x v="0"/>
    <x v="801"/>
    <s v="223 Main St"/>
    <x v="0"/>
    <x v="2"/>
    <x v="803"/>
    <n v="5"/>
    <x v="0"/>
    <x v="1"/>
    <x v="802"/>
    <n v="0"/>
  </r>
  <r>
    <x v="804"/>
    <x v="543"/>
    <x v="800"/>
    <x v="3"/>
    <x v="4"/>
    <x v="802"/>
    <s v="916 Main St"/>
    <x v="1"/>
    <x v="3"/>
    <x v="804"/>
    <n v="8"/>
    <x v="1"/>
    <x v="2"/>
    <x v="803"/>
    <n v="0"/>
  </r>
  <r>
    <x v="805"/>
    <x v="12"/>
    <x v="801"/>
    <x v="5"/>
    <x v="0"/>
    <x v="803"/>
    <s v="178 Main St"/>
    <x v="3"/>
    <x v="1"/>
    <x v="805"/>
    <n v="10"/>
    <x v="0"/>
    <x v="2"/>
    <x v="804"/>
    <n v="0"/>
  </r>
  <r>
    <x v="806"/>
    <x v="544"/>
    <x v="802"/>
    <x v="3"/>
    <x v="0"/>
    <x v="804"/>
    <s v="740 Main St"/>
    <x v="1"/>
    <x v="4"/>
    <x v="806"/>
    <n v="9"/>
    <x v="3"/>
    <x v="0"/>
    <x v="805"/>
    <n v="0"/>
  </r>
  <r>
    <x v="807"/>
    <x v="337"/>
    <x v="803"/>
    <x v="0"/>
    <x v="4"/>
    <x v="805"/>
    <s v="260 Main St"/>
    <x v="1"/>
    <x v="3"/>
    <x v="807"/>
    <n v="5"/>
    <x v="0"/>
    <x v="4"/>
    <x v="806"/>
    <n v="0"/>
  </r>
  <r>
    <x v="808"/>
    <x v="545"/>
    <x v="804"/>
    <x v="6"/>
    <x v="4"/>
    <x v="806"/>
    <s v="192 Main St"/>
    <x v="2"/>
    <x v="0"/>
    <x v="808"/>
    <n v="3"/>
    <x v="2"/>
    <x v="4"/>
    <x v="807"/>
    <n v="0"/>
  </r>
  <r>
    <x v="809"/>
    <x v="398"/>
    <x v="805"/>
    <x v="6"/>
    <x v="0"/>
    <x v="807"/>
    <s v="752 Main St"/>
    <x v="0"/>
    <x v="0"/>
    <x v="809"/>
    <n v="10"/>
    <x v="0"/>
    <x v="0"/>
    <x v="808"/>
    <n v="0"/>
  </r>
  <r>
    <x v="810"/>
    <x v="546"/>
    <x v="806"/>
    <x v="2"/>
    <x v="2"/>
    <x v="808"/>
    <s v="644 Main St"/>
    <x v="2"/>
    <x v="1"/>
    <x v="810"/>
    <n v="5"/>
    <x v="2"/>
    <x v="1"/>
    <x v="809"/>
    <n v="0"/>
  </r>
  <r>
    <x v="811"/>
    <x v="212"/>
    <x v="807"/>
    <x v="5"/>
    <x v="1"/>
    <x v="809"/>
    <s v="864 Main St"/>
    <x v="3"/>
    <x v="0"/>
    <x v="811"/>
    <n v="7"/>
    <x v="0"/>
    <x v="2"/>
    <x v="810"/>
    <n v="0"/>
  </r>
  <r>
    <x v="812"/>
    <x v="547"/>
    <x v="808"/>
    <x v="1"/>
    <x v="1"/>
    <x v="810"/>
    <s v="803 Main St"/>
    <x v="2"/>
    <x v="1"/>
    <x v="812"/>
    <n v="6"/>
    <x v="1"/>
    <x v="4"/>
    <x v="811"/>
    <n v="0"/>
  </r>
  <r>
    <x v="813"/>
    <x v="175"/>
    <x v="809"/>
    <x v="5"/>
    <x v="0"/>
    <x v="811"/>
    <s v="263 Main St"/>
    <x v="0"/>
    <x v="1"/>
    <x v="813"/>
    <n v="8"/>
    <x v="1"/>
    <x v="2"/>
    <x v="812"/>
    <n v="0"/>
  </r>
  <r>
    <x v="814"/>
    <x v="218"/>
    <x v="810"/>
    <x v="3"/>
    <x v="3"/>
    <x v="812"/>
    <s v="979 Main St"/>
    <x v="0"/>
    <x v="4"/>
    <x v="814"/>
    <n v="4"/>
    <x v="3"/>
    <x v="0"/>
    <x v="813"/>
    <n v="0"/>
  </r>
  <r>
    <x v="815"/>
    <x v="548"/>
    <x v="811"/>
    <x v="4"/>
    <x v="4"/>
    <x v="813"/>
    <s v="920 Main St"/>
    <x v="3"/>
    <x v="1"/>
    <x v="815"/>
    <n v="8"/>
    <x v="3"/>
    <x v="0"/>
    <x v="814"/>
    <n v="0"/>
  </r>
  <r>
    <x v="816"/>
    <x v="444"/>
    <x v="812"/>
    <x v="2"/>
    <x v="0"/>
    <x v="814"/>
    <s v="497 Main St"/>
    <x v="2"/>
    <x v="4"/>
    <x v="816"/>
    <n v="8"/>
    <x v="3"/>
    <x v="1"/>
    <x v="815"/>
    <n v="0"/>
  </r>
  <r>
    <x v="817"/>
    <x v="469"/>
    <x v="813"/>
    <x v="3"/>
    <x v="3"/>
    <x v="815"/>
    <s v="430 Main St"/>
    <x v="2"/>
    <x v="3"/>
    <x v="817"/>
    <n v="7"/>
    <x v="3"/>
    <x v="2"/>
    <x v="816"/>
    <n v="0"/>
  </r>
  <r>
    <x v="818"/>
    <x v="521"/>
    <x v="814"/>
    <x v="1"/>
    <x v="3"/>
    <x v="816"/>
    <s v="860 Main St"/>
    <x v="2"/>
    <x v="1"/>
    <x v="818"/>
    <n v="9"/>
    <x v="3"/>
    <x v="1"/>
    <x v="817"/>
    <n v="0"/>
  </r>
  <r>
    <x v="819"/>
    <x v="335"/>
    <x v="815"/>
    <x v="1"/>
    <x v="1"/>
    <x v="817"/>
    <s v="650 Main St"/>
    <x v="0"/>
    <x v="1"/>
    <x v="819"/>
    <n v="7"/>
    <x v="0"/>
    <x v="4"/>
    <x v="818"/>
    <n v="0"/>
  </r>
  <r>
    <x v="820"/>
    <x v="156"/>
    <x v="816"/>
    <x v="1"/>
    <x v="0"/>
    <x v="818"/>
    <s v="171 Main St"/>
    <x v="4"/>
    <x v="2"/>
    <x v="820"/>
    <n v="6"/>
    <x v="1"/>
    <x v="2"/>
    <x v="819"/>
    <n v="0"/>
  </r>
  <r>
    <x v="821"/>
    <x v="549"/>
    <x v="817"/>
    <x v="5"/>
    <x v="3"/>
    <x v="819"/>
    <s v="259 Main St"/>
    <x v="2"/>
    <x v="3"/>
    <x v="821"/>
    <n v="5"/>
    <x v="0"/>
    <x v="3"/>
    <x v="820"/>
    <n v="0"/>
  </r>
  <r>
    <x v="822"/>
    <x v="175"/>
    <x v="818"/>
    <x v="1"/>
    <x v="2"/>
    <x v="820"/>
    <s v="923 Main St"/>
    <x v="3"/>
    <x v="2"/>
    <x v="822"/>
    <n v="1"/>
    <x v="0"/>
    <x v="4"/>
    <x v="821"/>
    <n v="0"/>
  </r>
  <r>
    <x v="823"/>
    <x v="550"/>
    <x v="819"/>
    <x v="5"/>
    <x v="3"/>
    <x v="821"/>
    <s v="973 Main St"/>
    <x v="2"/>
    <x v="0"/>
    <x v="823"/>
    <n v="8"/>
    <x v="3"/>
    <x v="0"/>
    <x v="822"/>
    <n v="0"/>
  </r>
  <r>
    <x v="824"/>
    <x v="193"/>
    <x v="820"/>
    <x v="0"/>
    <x v="4"/>
    <x v="822"/>
    <s v="664 Main St"/>
    <x v="2"/>
    <x v="2"/>
    <x v="824"/>
    <n v="3"/>
    <x v="1"/>
    <x v="3"/>
    <x v="823"/>
    <n v="0"/>
  </r>
  <r>
    <x v="825"/>
    <x v="18"/>
    <x v="821"/>
    <x v="6"/>
    <x v="0"/>
    <x v="823"/>
    <s v="543 Main St"/>
    <x v="1"/>
    <x v="2"/>
    <x v="825"/>
    <n v="7"/>
    <x v="1"/>
    <x v="0"/>
    <x v="824"/>
    <n v="0"/>
  </r>
  <r>
    <x v="826"/>
    <x v="177"/>
    <x v="822"/>
    <x v="4"/>
    <x v="4"/>
    <x v="824"/>
    <s v="283 Main St"/>
    <x v="1"/>
    <x v="2"/>
    <x v="826"/>
    <n v="8"/>
    <x v="3"/>
    <x v="2"/>
    <x v="825"/>
    <n v="0"/>
  </r>
  <r>
    <x v="827"/>
    <x v="551"/>
    <x v="823"/>
    <x v="2"/>
    <x v="1"/>
    <x v="825"/>
    <s v="432 Main St"/>
    <x v="4"/>
    <x v="3"/>
    <x v="827"/>
    <n v="5"/>
    <x v="3"/>
    <x v="0"/>
    <x v="826"/>
    <n v="0"/>
  </r>
  <r>
    <x v="828"/>
    <x v="25"/>
    <x v="824"/>
    <x v="3"/>
    <x v="3"/>
    <x v="826"/>
    <s v="510 Main St"/>
    <x v="4"/>
    <x v="0"/>
    <x v="828"/>
    <n v="5"/>
    <x v="1"/>
    <x v="0"/>
    <x v="827"/>
    <n v="0"/>
  </r>
  <r>
    <x v="829"/>
    <x v="483"/>
    <x v="825"/>
    <x v="0"/>
    <x v="2"/>
    <x v="827"/>
    <s v="685 Main St"/>
    <x v="0"/>
    <x v="3"/>
    <x v="829"/>
    <n v="6"/>
    <x v="3"/>
    <x v="0"/>
    <x v="828"/>
    <n v="0"/>
  </r>
  <r>
    <x v="830"/>
    <x v="218"/>
    <x v="826"/>
    <x v="2"/>
    <x v="3"/>
    <x v="828"/>
    <s v="853 Main St"/>
    <x v="4"/>
    <x v="3"/>
    <x v="830"/>
    <n v="5"/>
    <x v="0"/>
    <x v="2"/>
    <x v="829"/>
    <n v="0"/>
  </r>
  <r>
    <x v="831"/>
    <x v="552"/>
    <x v="827"/>
    <x v="4"/>
    <x v="1"/>
    <x v="829"/>
    <s v="140 Main St"/>
    <x v="1"/>
    <x v="4"/>
    <x v="831"/>
    <n v="5"/>
    <x v="2"/>
    <x v="4"/>
    <x v="830"/>
    <n v="0"/>
  </r>
  <r>
    <x v="832"/>
    <x v="553"/>
    <x v="828"/>
    <x v="3"/>
    <x v="0"/>
    <x v="830"/>
    <s v="903 Main St"/>
    <x v="1"/>
    <x v="4"/>
    <x v="832"/>
    <n v="10"/>
    <x v="0"/>
    <x v="1"/>
    <x v="831"/>
    <n v="0"/>
  </r>
  <r>
    <x v="833"/>
    <x v="387"/>
    <x v="829"/>
    <x v="1"/>
    <x v="0"/>
    <x v="831"/>
    <s v="508 Main St"/>
    <x v="2"/>
    <x v="0"/>
    <x v="833"/>
    <n v="5"/>
    <x v="3"/>
    <x v="1"/>
    <x v="832"/>
    <n v="0"/>
  </r>
  <r>
    <x v="834"/>
    <x v="166"/>
    <x v="830"/>
    <x v="4"/>
    <x v="0"/>
    <x v="832"/>
    <s v="456 Main St"/>
    <x v="4"/>
    <x v="2"/>
    <x v="834"/>
    <n v="10"/>
    <x v="2"/>
    <x v="0"/>
    <x v="833"/>
    <n v="0"/>
  </r>
  <r>
    <x v="835"/>
    <x v="290"/>
    <x v="831"/>
    <x v="6"/>
    <x v="2"/>
    <x v="833"/>
    <s v="390 Main St"/>
    <x v="0"/>
    <x v="0"/>
    <x v="835"/>
    <n v="6"/>
    <x v="1"/>
    <x v="4"/>
    <x v="834"/>
    <n v="0"/>
  </r>
  <r>
    <x v="836"/>
    <x v="488"/>
    <x v="832"/>
    <x v="1"/>
    <x v="2"/>
    <x v="834"/>
    <s v="328 Main St"/>
    <x v="2"/>
    <x v="1"/>
    <x v="836"/>
    <n v="2"/>
    <x v="1"/>
    <x v="4"/>
    <x v="835"/>
    <n v="0"/>
  </r>
  <r>
    <x v="837"/>
    <x v="554"/>
    <x v="833"/>
    <x v="3"/>
    <x v="0"/>
    <x v="835"/>
    <s v="282 Main St"/>
    <x v="1"/>
    <x v="3"/>
    <x v="837"/>
    <n v="5"/>
    <x v="2"/>
    <x v="2"/>
    <x v="836"/>
    <n v="0"/>
  </r>
  <r>
    <x v="838"/>
    <x v="166"/>
    <x v="834"/>
    <x v="6"/>
    <x v="3"/>
    <x v="836"/>
    <s v="384 Main St"/>
    <x v="1"/>
    <x v="4"/>
    <x v="838"/>
    <n v="8"/>
    <x v="2"/>
    <x v="3"/>
    <x v="837"/>
    <n v="0"/>
  </r>
  <r>
    <x v="839"/>
    <x v="318"/>
    <x v="835"/>
    <x v="3"/>
    <x v="4"/>
    <x v="837"/>
    <s v="551 Main St"/>
    <x v="1"/>
    <x v="1"/>
    <x v="839"/>
    <n v="5"/>
    <x v="2"/>
    <x v="4"/>
    <x v="838"/>
    <n v="0"/>
  </r>
  <r>
    <x v="840"/>
    <x v="555"/>
    <x v="836"/>
    <x v="3"/>
    <x v="4"/>
    <x v="838"/>
    <s v="672 Main St"/>
    <x v="2"/>
    <x v="3"/>
    <x v="840"/>
    <n v="7"/>
    <x v="1"/>
    <x v="1"/>
    <x v="839"/>
    <n v="0"/>
  </r>
  <r>
    <x v="841"/>
    <x v="556"/>
    <x v="837"/>
    <x v="4"/>
    <x v="1"/>
    <x v="839"/>
    <s v="742 Main St"/>
    <x v="2"/>
    <x v="3"/>
    <x v="841"/>
    <n v="5"/>
    <x v="2"/>
    <x v="3"/>
    <x v="840"/>
    <n v="0"/>
  </r>
  <r>
    <x v="842"/>
    <x v="106"/>
    <x v="838"/>
    <x v="5"/>
    <x v="4"/>
    <x v="840"/>
    <s v="396 Main St"/>
    <x v="1"/>
    <x v="4"/>
    <x v="842"/>
    <n v="7"/>
    <x v="3"/>
    <x v="1"/>
    <x v="841"/>
    <n v="0"/>
  </r>
  <r>
    <x v="843"/>
    <x v="557"/>
    <x v="839"/>
    <x v="6"/>
    <x v="4"/>
    <x v="841"/>
    <s v="534 Main St"/>
    <x v="3"/>
    <x v="1"/>
    <x v="843"/>
    <n v="8"/>
    <x v="1"/>
    <x v="0"/>
    <x v="842"/>
    <n v="0"/>
  </r>
  <r>
    <x v="844"/>
    <x v="558"/>
    <x v="840"/>
    <x v="3"/>
    <x v="2"/>
    <x v="842"/>
    <s v="883 Main St"/>
    <x v="1"/>
    <x v="2"/>
    <x v="844"/>
    <n v="5"/>
    <x v="1"/>
    <x v="3"/>
    <x v="843"/>
    <n v="0"/>
  </r>
  <r>
    <x v="845"/>
    <x v="345"/>
    <x v="841"/>
    <x v="1"/>
    <x v="4"/>
    <x v="843"/>
    <s v="808 Main St"/>
    <x v="3"/>
    <x v="3"/>
    <x v="845"/>
    <n v="5"/>
    <x v="1"/>
    <x v="4"/>
    <x v="844"/>
    <n v="0"/>
  </r>
  <r>
    <x v="846"/>
    <x v="502"/>
    <x v="842"/>
    <x v="6"/>
    <x v="1"/>
    <x v="844"/>
    <s v="646 Main St"/>
    <x v="0"/>
    <x v="1"/>
    <x v="846"/>
    <n v="4"/>
    <x v="2"/>
    <x v="1"/>
    <x v="845"/>
    <n v="0"/>
  </r>
  <r>
    <x v="847"/>
    <x v="249"/>
    <x v="843"/>
    <x v="4"/>
    <x v="3"/>
    <x v="845"/>
    <s v="670 Main St"/>
    <x v="1"/>
    <x v="0"/>
    <x v="847"/>
    <n v="8"/>
    <x v="1"/>
    <x v="2"/>
    <x v="846"/>
    <n v="0"/>
  </r>
  <r>
    <x v="848"/>
    <x v="107"/>
    <x v="844"/>
    <x v="3"/>
    <x v="1"/>
    <x v="846"/>
    <s v="634 Main St"/>
    <x v="1"/>
    <x v="0"/>
    <x v="848"/>
    <n v="5"/>
    <x v="2"/>
    <x v="1"/>
    <x v="847"/>
    <n v="0"/>
  </r>
  <r>
    <x v="849"/>
    <x v="559"/>
    <x v="845"/>
    <x v="4"/>
    <x v="3"/>
    <x v="847"/>
    <s v="664 Main St"/>
    <x v="0"/>
    <x v="1"/>
    <x v="849"/>
    <n v="7"/>
    <x v="3"/>
    <x v="1"/>
    <x v="848"/>
    <n v="0"/>
  </r>
  <r>
    <x v="850"/>
    <x v="560"/>
    <x v="846"/>
    <x v="0"/>
    <x v="4"/>
    <x v="848"/>
    <s v="890 Main St"/>
    <x v="0"/>
    <x v="1"/>
    <x v="850"/>
    <n v="4"/>
    <x v="1"/>
    <x v="0"/>
    <x v="849"/>
    <n v="0"/>
  </r>
  <r>
    <x v="851"/>
    <x v="427"/>
    <x v="847"/>
    <x v="5"/>
    <x v="2"/>
    <x v="849"/>
    <s v="146 Main St"/>
    <x v="1"/>
    <x v="1"/>
    <x v="851"/>
    <n v="5"/>
    <x v="0"/>
    <x v="2"/>
    <x v="850"/>
    <n v="0"/>
  </r>
  <r>
    <x v="852"/>
    <x v="101"/>
    <x v="848"/>
    <x v="6"/>
    <x v="4"/>
    <x v="850"/>
    <s v="618 Main St"/>
    <x v="3"/>
    <x v="4"/>
    <x v="852"/>
    <n v="6"/>
    <x v="0"/>
    <x v="4"/>
    <x v="851"/>
    <n v="0"/>
  </r>
  <r>
    <x v="853"/>
    <x v="504"/>
    <x v="849"/>
    <x v="4"/>
    <x v="4"/>
    <x v="851"/>
    <s v="894 Main St"/>
    <x v="4"/>
    <x v="2"/>
    <x v="853"/>
    <n v="4"/>
    <x v="0"/>
    <x v="3"/>
    <x v="852"/>
    <n v="0"/>
  </r>
  <r>
    <x v="854"/>
    <x v="399"/>
    <x v="850"/>
    <x v="5"/>
    <x v="4"/>
    <x v="852"/>
    <s v="356 Main St"/>
    <x v="2"/>
    <x v="3"/>
    <x v="854"/>
    <n v="7"/>
    <x v="3"/>
    <x v="1"/>
    <x v="853"/>
    <n v="0"/>
  </r>
  <r>
    <x v="855"/>
    <x v="551"/>
    <x v="851"/>
    <x v="0"/>
    <x v="0"/>
    <x v="853"/>
    <s v="785 Main St"/>
    <x v="2"/>
    <x v="0"/>
    <x v="855"/>
    <n v="10"/>
    <x v="1"/>
    <x v="2"/>
    <x v="854"/>
    <n v="0"/>
  </r>
  <r>
    <x v="856"/>
    <x v="561"/>
    <x v="852"/>
    <x v="1"/>
    <x v="2"/>
    <x v="854"/>
    <s v="871 Main St"/>
    <x v="0"/>
    <x v="0"/>
    <x v="856"/>
    <n v="5"/>
    <x v="2"/>
    <x v="3"/>
    <x v="855"/>
    <n v="0"/>
  </r>
  <r>
    <x v="857"/>
    <x v="416"/>
    <x v="853"/>
    <x v="1"/>
    <x v="4"/>
    <x v="855"/>
    <s v="185 Main St"/>
    <x v="1"/>
    <x v="3"/>
    <x v="857"/>
    <n v="4"/>
    <x v="2"/>
    <x v="0"/>
    <x v="856"/>
    <n v="0"/>
  </r>
  <r>
    <x v="858"/>
    <x v="38"/>
    <x v="854"/>
    <x v="2"/>
    <x v="0"/>
    <x v="856"/>
    <s v="891 Main St"/>
    <x v="1"/>
    <x v="4"/>
    <x v="858"/>
    <n v="9"/>
    <x v="2"/>
    <x v="3"/>
    <x v="857"/>
    <n v="0"/>
  </r>
  <r>
    <x v="859"/>
    <x v="562"/>
    <x v="855"/>
    <x v="3"/>
    <x v="0"/>
    <x v="857"/>
    <s v="154 Main St"/>
    <x v="2"/>
    <x v="2"/>
    <x v="859"/>
    <n v="5"/>
    <x v="0"/>
    <x v="1"/>
    <x v="858"/>
    <n v="0"/>
  </r>
  <r>
    <x v="860"/>
    <x v="514"/>
    <x v="856"/>
    <x v="4"/>
    <x v="2"/>
    <x v="858"/>
    <s v="876 Main St"/>
    <x v="4"/>
    <x v="3"/>
    <x v="860"/>
    <n v="1"/>
    <x v="0"/>
    <x v="4"/>
    <x v="859"/>
    <n v="0"/>
  </r>
  <r>
    <x v="861"/>
    <x v="111"/>
    <x v="857"/>
    <x v="6"/>
    <x v="0"/>
    <x v="859"/>
    <s v="230 Main St"/>
    <x v="3"/>
    <x v="0"/>
    <x v="861"/>
    <n v="10"/>
    <x v="1"/>
    <x v="4"/>
    <x v="860"/>
    <n v="0"/>
  </r>
  <r>
    <x v="862"/>
    <x v="278"/>
    <x v="858"/>
    <x v="6"/>
    <x v="4"/>
    <x v="860"/>
    <s v="799 Main St"/>
    <x v="2"/>
    <x v="0"/>
    <x v="862"/>
    <n v="5"/>
    <x v="0"/>
    <x v="1"/>
    <x v="861"/>
    <n v="0"/>
  </r>
  <r>
    <x v="863"/>
    <x v="199"/>
    <x v="859"/>
    <x v="1"/>
    <x v="2"/>
    <x v="861"/>
    <s v="471 Main St"/>
    <x v="2"/>
    <x v="4"/>
    <x v="863"/>
    <n v="5"/>
    <x v="0"/>
    <x v="1"/>
    <x v="862"/>
    <n v="0"/>
  </r>
  <r>
    <x v="864"/>
    <x v="71"/>
    <x v="860"/>
    <x v="6"/>
    <x v="2"/>
    <x v="862"/>
    <s v="592 Main St"/>
    <x v="2"/>
    <x v="3"/>
    <x v="864"/>
    <n v="4"/>
    <x v="0"/>
    <x v="3"/>
    <x v="863"/>
    <n v="0"/>
  </r>
  <r>
    <x v="865"/>
    <x v="563"/>
    <x v="861"/>
    <x v="0"/>
    <x v="3"/>
    <x v="863"/>
    <s v="156 Main St"/>
    <x v="4"/>
    <x v="4"/>
    <x v="865"/>
    <n v="8"/>
    <x v="0"/>
    <x v="4"/>
    <x v="864"/>
    <n v="0"/>
  </r>
  <r>
    <x v="866"/>
    <x v="503"/>
    <x v="862"/>
    <x v="6"/>
    <x v="0"/>
    <x v="864"/>
    <s v="693 Main St"/>
    <x v="0"/>
    <x v="1"/>
    <x v="866"/>
    <n v="10"/>
    <x v="3"/>
    <x v="2"/>
    <x v="865"/>
    <n v="0"/>
  </r>
  <r>
    <x v="867"/>
    <x v="564"/>
    <x v="863"/>
    <x v="4"/>
    <x v="3"/>
    <x v="865"/>
    <s v="351 Main St"/>
    <x v="4"/>
    <x v="3"/>
    <x v="867"/>
    <n v="4"/>
    <x v="1"/>
    <x v="3"/>
    <x v="866"/>
    <n v="0"/>
  </r>
  <r>
    <x v="868"/>
    <x v="310"/>
    <x v="864"/>
    <x v="0"/>
    <x v="3"/>
    <x v="866"/>
    <s v="309 Main St"/>
    <x v="0"/>
    <x v="3"/>
    <x v="868"/>
    <n v="7"/>
    <x v="2"/>
    <x v="3"/>
    <x v="867"/>
    <n v="0"/>
  </r>
  <r>
    <x v="869"/>
    <x v="537"/>
    <x v="865"/>
    <x v="6"/>
    <x v="1"/>
    <x v="867"/>
    <s v="790 Main St"/>
    <x v="1"/>
    <x v="3"/>
    <x v="869"/>
    <n v="5"/>
    <x v="3"/>
    <x v="4"/>
    <x v="868"/>
    <n v="0"/>
  </r>
  <r>
    <x v="870"/>
    <x v="565"/>
    <x v="866"/>
    <x v="1"/>
    <x v="3"/>
    <x v="868"/>
    <s v="541 Main St"/>
    <x v="0"/>
    <x v="3"/>
    <x v="870"/>
    <n v="4"/>
    <x v="1"/>
    <x v="4"/>
    <x v="869"/>
    <n v="0"/>
  </r>
  <r>
    <x v="871"/>
    <x v="149"/>
    <x v="867"/>
    <x v="2"/>
    <x v="4"/>
    <x v="869"/>
    <s v="720 Main St"/>
    <x v="0"/>
    <x v="4"/>
    <x v="871"/>
    <n v="8"/>
    <x v="1"/>
    <x v="2"/>
    <x v="870"/>
    <n v="0"/>
  </r>
  <r>
    <x v="872"/>
    <x v="566"/>
    <x v="868"/>
    <x v="3"/>
    <x v="3"/>
    <x v="120"/>
    <s v="172 Main St"/>
    <x v="4"/>
    <x v="0"/>
    <x v="872"/>
    <n v="7"/>
    <x v="2"/>
    <x v="2"/>
    <x v="120"/>
    <n v="0"/>
  </r>
  <r>
    <x v="873"/>
    <x v="258"/>
    <x v="869"/>
    <x v="6"/>
    <x v="4"/>
    <x v="503"/>
    <s v="448 Main St"/>
    <x v="4"/>
    <x v="3"/>
    <x v="873"/>
    <n v="3"/>
    <x v="0"/>
    <x v="3"/>
    <x v="502"/>
    <n v="0"/>
  </r>
  <r>
    <x v="874"/>
    <x v="150"/>
    <x v="870"/>
    <x v="3"/>
    <x v="1"/>
    <x v="870"/>
    <s v="632 Main St"/>
    <x v="4"/>
    <x v="3"/>
    <x v="874"/>
    <n v="7"/>
    <x v="1"/>
    <x v="3"/>
    <x v="871"/>
    <n v="0"/>
  </r>
  <r>
    <x v="875"/>
    <x v="567"/>
    <x v="871"/>
    <x v="5"/>
    <x v="0"/>
    <x v="871"/>
    <s v="203 Main St"/>
    <x v="2"/>
    <x v="3"/>
    <x v="875"/>
    <n v="6"/>
    <x v="1"/>
    <x v="1"/>
    <x v="872"/>
    <n v="0"/>
  </r>
  <r>
    <x v="876"/>
    <x v="410"/>
    <x v="872"/>
    <x v="3"/>
    <x v="0"/>
    <x v="872"/>
    <s v="200 Main St"/>
    <x v="3"/>
    <x v="4"/>
    <x v="876"/>
    <n v="6"/>
    <x v="0"/>
    <x v="4"/>
    <x v="873"/>
    <n v="0"/>
  </r>
  <r>
    <x v="877"/>
    <x v="568"/>
    <x v="873"/>
    <x v="2"/>
    <x v="2"/>
    <x v="873"/>
    <s v="269 Main St"/>
    <x v="0"/>
    <x v="4"/>
    <x v="877"/>
    <n v="3"/>
    <x v="1"/>
    <x v="2"/>
    <x v="874"/>
    <n v="0"/>
  </r>
  <r>
    <x v="878"/>
    <x v="569"/>
    <x v="874"/>
    <x v="6"/>
    <x v="1"/>
    <x v="874"/>
    <s v="393 Main St"/>
    <x v="1"/>
    <x v="1"/>
    <x v="878"/>
    <n v="5"/>
    <x v="0"/>
    <x v="4"/>
    <x v="875"/>
    <n v="0"/>
  </r>
  <r>
    <x v="879"/>
    <x v="428"/>
    <x v="875"/>
    <x v="1"/>
    <x v="1"/>
    <x v="875"/>
    <s v="932 Main St"/>
    <x v="3"/>
    <x v="0"/>
    <x v="879"/>
    <n v="3"/>
    <x v="2"/>
    <x v="0"/>
    <x v="876"/>
    <n v="0"/>
  </r>
  <r>
    <x v="880"/>
    <x v="495"/>
    <x v="876"/>
    <x v="5"/>
    <x v="3"/>
    <x v="876"/>
    <s v="506 Main St"/>
    <x v="1"/>
    <x v="0"/>
    <x v="880"/>
    <n v="8"/>
    <x v="0"/>
    <x v="3"/>
    <x v="877"/>
    <n v="0"/>
  </r>
  <r>
    <x v="881"/>
    <x v="570"/>
    <x v="877"/>
    <x v="2"/>
    <x v="1"/>
    <x v="877"/>
    <s v="386 Main St"/>
    <x v="2"/>
    <x v="4"/>
    <x v="881"/>
    <n v="6"/>
    <x v="2"/>
    <x v="0"/>
    <x v="878"/>
    <n v="0"/>
  </r>
  <r>
    <x v="882"/>
    <x v="164"/>
    <x v="878"/>
    <x v="1"/>
    <x v="1"/>
    <x v="878"/>
    <s v="533 Main St"/>
    <x v="4"/>
    <x v="3"/>
    <x v="882"/>
    <n v="6"/>
    <x v="1"/>
    <x v="1"/>
    <x v="879"/>
    <n v="0"/>
  </r>
  <r>
    <x v="883"/>
    <x v="557"/>
    <x v="879"/>
    <x v="4"/>
    <x v="0"/>
    <x v="879"/>
    <s v="451 Main St"/>
    <x v="1"/>
    <x v="3"/>
    <x v="883"/>
    <n v="9"/>
    <x v="1"/>
    <x v="3"/>
    <x v="880"/>
    <n v="0"/>
  </r>
  <r>
    <x v="884"/>
    <x v="571"/>
    <x v="880"/>
    <x v="3"/>
    <x v="2"/>
    <x v="880"/>
    <s v="817 Main St"/>
    <x v="3"/>
    <x v="0"/>
    <x v="884"/>
    <n v="4"/>
    <x v="2"/>
    <x v="0"/>
    <x v="881"/>
    <n v="0"/>
  </r>
  <r>
    <x v="885"/>
    <x v="158"/>
    <x v="881"/>
    <x v="5"/>
    <x v="3"/>
    <x v="881"/>
    <s v="387 Main St"/>
    <x v="2"/>
    <x v="0"/>
    <x v="885"/>
    <n v="7"/>
    <x v="1"/>
    <x v="4"/>
    <x v="882"/>
    <n v="0"/>
  </r>
  <r>
    <x v="886"/>
    <x v="385"/>
    <x v="882"/>
    <x v="1"/>
    <x v="2"/>
    <x v="882"/>
    <s v="792 Main St"/>
    <x v="2"/>
    <x v="2"/>
    <x v="886"/>
    <n v="1"/>
    <x v="2"/>
    <x v="4"/>
    <x v="883"/>
    <n v="0"/>
  </r>
  <r>
    <x v="887"/>
    <x v="36"/>
    <x v="883"/>
    <x v="3"/>
    <x v="4"/>
    <x v="883"/>
    <s v="857 Main St"/>
    <x v="0"/>
    <x v="3"/>
    <x v="887"/>
    <n v="7"/>
    <x v="2"/>
    <x v="4"/>
    <x v="884"/>
    <n v="0"/>
  </r>
  <r>
    <x v="888"/>
    <x v="572"/>
    <x v="884"/>
    <x v="5"/>
    <x v="1"/>
    <x v="884"/>
    <s v="833 Main St"/>
    <x v="2"/>
    <x v="4"/>
    <x v="888"/>
    <n v="3"/>
    <x v="2"/>
    <x v="0"/>
    <x v="885"/>
    <n v="0"/>
  </r>
  <r>
    <x v="889"/>
    <x v="245"/>
    <x v="885"/>
    <x v="0"/>
    <x v="0"/>
    <x v="885"/>
    <s v="350 Main St"/>
    <x v="2"/>
    <x v="1"/>
    <x v="889"/>
    <n v="8"/>
    <x v="3"/>
    <x v="2"/>
    <x v="886"/>
    <n v="0"/>
  </r>
  <r>
    <x v="890"/>
    <x v="178"/>
    <x v="886"/>
    <x v="5"/>
    <x v="4"/>
    <x v="886"/>
    <s v="943 Main St"/>
    <x v="0"/>
    <x v="4"/>
    <x v="890"/>
    <n v="5"/>
    <x v="2"/>
    <x v="4"/>
    <x v="887"/>
    <n v="0"/>
  </r>
  <r>
    <x v="891"/>
    <x v="433"/>
    <x v="887"/>
    <x v="0"/>
    <x v="4"/>
    <x v="887"/>
    <s v="918 Main St"/>
    <x v="4"/>
    <x v="2"/>
    <x v="891"/>
    <n v="7"/>
    <x v="0"/>
    <x v="1"/>
    <x v="888"/>
    <n v="0"/>
  </r>
  <r>
    <x v="892"/>
    <x v="573"/>
    <x v="888"/>
    <x v="6"/>
    <x v="2"/>
    <x v="888"/>
    <s v="480 Main St"/>
    <x v="4"/>
    <x v="0"/>
    <x v="892"/>
    <n v="2"/>
    <x v="1"/>
    <x v="1"/>
    <x v="889"/>
    <n v="0"/>
  </r>
  <r>
    <x v="893"/>
    <x v="574"/>
    <x v="889"/>
    <x v="0"/>
    <x v="2"/>
    <x v="889"/>
    <s v="696 Main St"/>
    <x v="4"/>
    <x v="4"/>
    <x v="893"/>
    <n v="4"/>
    <x v="1"/>
    <x v="1"/>
    <x v="890"/>
    <n v="0"/>
  </r>
  <r>
    <x v="894"/>
    <x v="575"/>
    <x v="890"/>
    <x v="2"/>
    <x v="4"/>
    <x v="890"/>
    <s v="852 Main St"/>
    <x v="1"/>
    <x v="1"/>
    <x v="894"/>
    <n v="8"/>
    <x v="3"/>
    <x v="0"/>
    <x v="891"/>
    <n v="0"/>
  </r>
  <r>
    <x v="895"/>
    <x v="576"/>
    <x v="891"/>
    <x v="3"/>
    <x v="4"/>
    <x v="891"/>
    <s v="832 Main St"/>
    <x v="0"/>
    <x v="4"/>
    <x v="895"/>
    <n v="6"/>
    <x v="3"/>
    <x v="3"/>
    <x v="892"/>
    <n v="0"/>
  </r>
  <r>
    <x v="896"/>
    <x v="266"/>
    <x v="892"/>
    <x v="6"/>
    <x v="4"/>
    <x v="892"/>
    <s v="102 Main St"/>
    <x v="3"/>
    <x v="0"/>
    <x v="896"/>
    <n v="3"/>
    <x v="1"/>
    <x v="4"/>
    <x v="893"/>
    <n v="0"/>
  </r>
  <r>
    <x v="897"/>
    <x v="459"/>
    <x v="893"/>
    <x v="5"/>
    <x v="3"/>
    <x v="893"/>
    <s v="358 Main St"/>
    <x v="3"/>
    <x v="3"/>
    <x v="897"/>
    <n v="5"/>
    <x v="0"/>
    <x v="0"/>
    <x v="894"/>
    <n v="0"/>
  </r>
  <r>
    <x v="898"/>
    <x v="376"/>
    <x v="894"/>
    <x v="0"/>
    <x v="4"/>
    <x v="894"/>
    <s v="742 Main St"/>
    <x v="4"/>
    <x v="0"/>
    <x v="898"/>
    <n v="6"/>
    <x v="2"/>
    <x v="1"/>
    <x v="895"/>
    <n v="0"/>
  </r>
  <r>
    <x v="899"/>
    <x v="577"/>
    <x v="895"/>
    <x v="4"/>
    <x v="1"/>
    <x v="895"/>
    <s v="552 Main St"/>
    <x v="1"/>
    <x v="4"/>
    <x v="899"/>
    <n v="3"/>
    <x v="0"/>
    <x v="0"/>
    <x v="896"/>
    <n v="0"/>
  </r>
  <r>
    <x v="900"/>
    <x v="492"/>
    <x v="896"/>
    <x v="5"/>
    <x v="0"/>
    <x v="896"/>
    <s v="991 Main St"/>
    <x v="0"/>
    <x v="4"/>
    <x v="900"/>
    <n v="9"/>
    <x v="2"/>
    <x v="0"/>
    <x v="897"/>
    <n v="0"/>
  </r>
  <r>
    <x v="901"/>
    <x v="578"/>
    <x v="897"/>
    <x v="2"/>
    <x v="2"/>
    <x v="897"/>
    <s v="839 Main St"/>
    <x v="0"/>
    <x v="2"/>
    <x v="901"/>
    <n v="4"/>
    <x v="3"/>
    <x v="1"/>
    <x v="898"/>
    <n v="0"/>
  </r>
  <r>
    <x v="902"/>
    <x v="579"/>
    <x v="898"/>
    <x v="0"/>
    <x v="3"/>
    <x v="898"/>
    <s v="813 Main St"/>
    <x v="0"/>
    <x v="1"/>
    <x v="902"/>
    <n v="7"/>
    <x v="2"/>
    <x v="3"/>
    <x v="899"/>
    <n v="0"/>
  </r>
  <r>
    <x v="903"/>
    <x v="209"/>
    <x v="899"/>
    <x v="0"/>
    <x v="4"/>
    <x v="899"/>
    <s v="205 Main St"/>
    <x v="2"/>
    <x v="4"/>
    <x v="903"/>
    <n v="7"/>
    <x v="2"/>
    <x v="2"/>
    <x v="900"/>
    <n v="0"/>
  </r>
  <r>
    <x v="904"/>
    <x v="580"/>
    <x v="900"/>
    <x v="0"/>
    <x v="3"/>
    <x v="900"/>
    <s v="262 Main St"/>
    <x v="4"/>
    <x v="1"/>
    <x v="904"/>
    <n v="8"/>
    <x v="3"/>
    <x v="1"/>
    <x v="901"/>
    <n v="0"/>
  </r>
  <r>
    <x v="905"/>
    <x v="581"/>
    <x v="901"/>
    <x v="5"/>
    <x v="2"/>
    <x v="901"/>
    <s v="101 Main St"/>
    <x v="3"/>
    <x v="4"/>
    <x v="905"/>
    <n v="6"/>
    <x v="1"/>
    <x v="3"/>
    <x v="902"/>
    <n v="0"/>
  </r>
  <r>
    <x v="906"/>
    <x v="459"/>
    <x v="902"/>
    <x v="0"/>
    <x v="2"/>
    <x v="902"/>
    <s v="141 Main St"/>
    <x v="4"/>
    <x v="2"/>
    <x v="906"/>
    <n v="2"/>
    <x v="2"/>
    <x v="2"/>
    <x v="903"/>
    <n v="0"/>
  </r>
  <r>
    <x v="907"/>
    <x v="548"/>
    <x v="903"/>
    <x v="6"/>
    <x v="0"/>
    <x v="903"/>
    <s v="583 Main St"/>
    <x v="3"/>
    <x v="1"/>
    <x v="907"/>
    <n v="7"/>
    <x v="3"/>
    <x v="1"/>
    <x v="904"/>
    <n v="0"/>
  </r>
  <r>
    <x v="908"/>
    <x v="138"/>
    <x v="904"/>
    <x v="6"/>
    <x v="1"/>
    <x v="904"/>
    <s v="332 Main St"/>
    <x v="2"/>
    <x v="1"/>
    <x v="908"/>
    <n v="2"/>
    <x v="0"/>
    <x v="4"/>
    <x v="905"/>
    <n v="0"/>
  </r>
  <r>
    <x v="909"/>
    <x v="582"/>
    <x v="905"/>
    <x v="2"/>
    <x v="1"/>
    <x v="905"/>
    <s v="569 Main St"/>
    <x v="4"/>
    <x v="0"/>
    <x v="909"/>
    <n v="5"/>
    <x v="1"/>
    <x v="0"/>
    <x v="906"/>
    <n v="0"/>
  </r>
  <r>
    <x v="910"/>
    <x v="583"/>
    <x v="906"/>
    <x v="4"/>
    <x v="4"/>
    <x v="906"/>
    <s v="348 Main St"/>
    <x v="4"/>
    <x v="3"/>
    <x v="910"/>
    <n v="3"/>
    <x v="0"/>
    <x v="0"/>
    <x v="907"/>
    <n v="0"/>
  </r>
  <r>
    <x v="911"/>
    <x v="584"/>
    <x v="907"/>
    <x v="6"/>
    <x v="0"/>
    <x v="907"/>
    <s v="593 Main St"/>
    <x v="4"/>
    <x v="1"/>
    <x v="911"/>
    <n v="9"/>
    <x v="0"/>
    <x v="0"/>
    <x v="908"/>
    <n v="0"/>
  </r>
  <r>
    <x v="912"/>
    <x v="585"/>
    <x v="908"/>
    <x v="6"/>
    <x v="1"/>
    <x v="908"/>
    <s v="318 Main St"/>
    <x v="1"/>
    <x v="2"/>
    <x v="912"/>
    <n v="7"/>
    <x v="1"/>
    <x v="2"/>
    <x v="909"/>
    <n v="0"/>
  </r>
  <r>
    <x v="913"/>
    <x v="223"/>
    <x v="909"/>
    <x v="4"/>
    <x v="0"/>
    <x v="909"/>
    <s v="505 Main St"/>
    <x v="2"/>
    <x v="2"/>
    <x v="913"/>
    <n v="8"/>
    <x v="3"/>
    <x v="3"/>
    <x v="910"/>
    <n v="0"/>
  </r>
  <r>
    <x v="914"/>
    <x v="441"/>
    <x v="910"/>
    <x v="6"/>
    <x v="2"/>
    <x v="910"/>
    <s v="955 Main St"/>
    <x v="3"/>
    <x v="2"/>
    <x v="914"/>
    <n v="4"/>
    <x v="3"/>
    <x v="3"/>
    <x v="911"/>
    <n v="0"/>
  </r>
  <r>
    <x v="915"/>
    <x v="586"/>
    <x v="911"/>
    <x v="5"/>
    <x v="3"/>
    <x v="911"/>
    <s v="939 Main St"/>
    <x v="0"/>
    <x v="0"/>
    <x v="915"/>
    <n v="4"/>
    <x v="3"/>
    <x v="1"/>
    <x v="912"/>
    <n v="0"/>
  </r>
  <r>
    <x v="916"/>
    <x v="587"/>
    <x v="912"/>
    <x v="4"/>
    <x v="0"/>
    <x v="912"/>
    <s v="165 Main St"/>
    <x v="4"/>
    <x v="2"/>
    <x v="916"/>
    <n v="6"/>
    <x v="2"/>
    <x v="1"/>
    <x v="913"/>
    <n v="0"/>
  </r>
  <r>
    <x v="917"/>
    <x v="588"/>
    <x v="913"/>
    <x v="5"/>
    <x v="0"/>
    <x v="913"/>
    <s v="836 Main St"/>
    <x v="2"/>
    <x v="2"/>
    <x v="917"/>
    <n v="7"/>
    <x v="1"/>
    <x v="4"/>
    <x v="914"/>
    <n v="0"/>
  </r>
  <r>
    <x v="918"/>
    <x v="53"/>
    <x v="914"/>
    <x v="5"/>
    <x v="0"/>
    <x v="914"/>
    <s v="706 Main St"/>
    <x v="1"/>
    <x v="3"/>
    <x v="918"/>
    <n v="5"/>
    <x v="2"/>
    <x v="0"/>
    <x v="915"/>
    <n v="0"/>
  </r>
  <r>
    <x v="919"/>
    <x v="492"/>
    <x v="915"/>
    <x v="4"/>
    <x v="1"/>
    <x v="915"/>
    <s v="187 Main St"/>
    <x v="1"/>
    <x v="0"/>
    <x v="919"/>
    <n v="3"/>
    <x v="1"/>
    <x v="1"/>
    <x v="916"/>
    <n v="0"/>
  </r>
  <r>
    <x v="920"/>
    <x v="495"/>
    <x v="916"/>
    <x v="2"/>
    <x v="1"/>
    <x v="916"/>
    <s v="978 Main St"/>
    <x v="2"/>
    <x v="2"/>
    <x v="920"/>
    <n v="6"/>
    <x v="2"/>
    <x v="0"/>
    <x v="917"/>
    <n v="0"/>
  </r>
  <r>
    <x v="921"/>
    <x v="528"/>
    <x v="917"/>
    <x v="2"/>
    <x v="2"/>
    <x v="917"/>
    <s v="144 Main St"/>
    <x v="3"/>
    <x v="1"/>
    <x v="921"/>
    <n v="3"/>
    <x v="0"/>
    <x v="1"/>
    <x v="918"/>
    <n v="0"/>
  </r>
  <r>
    <x v="922"/>
    <x v="589"/>
    <x v="918"/>
    <x v="6"/>
    <x v="1"/>
    <x v="918"/>
    <s v="487 Main St"/>
    <x v="2"/>
    <x v="4"/>
    <x v="922"/>
    <n v="3"/>
    <x v="2"/>
    <x v="0"/>
    <x v="919"/>
    <n v="0"/>
  </r>
  <r>
    <x v="923"/>
    <x v="91"/>
    <x v="919"/>
    <x v="4"/>
    <x v="4"/>
    <x v="919"/>
    <s v="836 Main St"/>
    <x v="2"/>
    <x v="4"/>
    <x v="923"/>
    <n v="7"/>
    <x v="3"/>
    <x v="3"/>
    <x v="920"/>
    <n v="0"/>
  </r>
  <r>
    <x v="924"/>
    <x v="29"/>
    <x v="920"/>
    <x v="4"/>
    <x v="0"/>
    <x v="920"/>
    <s v="991 Main St"/>
    <x v="4"/>
    <x v="2"/>
    <x v="924"/>
    <n v="5"/>
    <x v="0"/>
    <x v="2"/>
    <x v="921"/>
    <n v="0"/>
  </r>
  <r>
    <x v="925"/>
    <x v="590"/>
    <x v="921"/>
    <x v="0"/>
    <x v="0"/>
    <x v="921"/>
    <s v="304 Main St"/>
    <x v="1"/>
    <x v="0"/>
    <x v="925"/>
    <n v="10"/>
    <x v="3"/>
    <x v="2"/>
    <x v="922"/>
    <n v="0"/>
  </r>
  <r>
    <x v="926"/>
    <x v="591"/>
    <x v="922"/>
    <x v="6"/>
    <x v="2"/>
    <x v="922"/>
    <s v="672 Main St"/>
    <x v="4"/>
    <x v="3"/>
    <x v="926"/>
    <n v="1"/>
    <x v="3"/>
    <x v="2"/>
    <x v="923"/>
    <n v="0"/>
  </r>
  <r>
    <x v="927"/>
    <x v="592"/>
    <x v="923"/>
    <x v="5"/>
    <x v="3"/>
    <x v="923"/>
    <s v="638 Main St"/>
    <x v="0"/>
    <x v="0"/>
    <x v="927"/>
    <n v="7"/>
    <x v="3"/>
    <x v="4"/>
    <x v="924"/>
    <n v="0"/>
  </r>
  <r>
    <x v="928"/>
    <x v="593"/>
    <x v="924"/>
    <x v="5"/>
    <x v="4"/>
    <x v="924"/>
    <s v="821 Main St"/>
    <x v="0"/>
    <x v="2"/>
    <x v="928"/>
    <n v="3"/>
    <x v="3"/>
    <x v="1"/>
    <x v="925"/>
    <n v="0"/>
  </r>
  <r>
    <x v="929"/>
    <x v="594"/>
    <x v="925"/>
    <x v="2"/>
    <x v="1"/>
    <x v="925"/>
    <s v="553 Main St"/>
    <x v="0"/>
    <x v="4"/>
    <x v="929"/>
    <n v="3"/>
    <x v="2"/>
    <x v="2"/>
    <x v="926"/>
    <n v="0"/>
  </r>
  <r>
    <x v="930"/>
    <x v="393"/>
    <x v="926"/>
    <x v="1"/>
    <x v="1"/>
    <x v="926"/>
    <s v="382 Main St"/>
    <x v="0"/>
    <x v="2"/>
    <x v="930"/>
    <n v="4"/>
    <x v="1"/>
    <x v="2"/>
    <x v="927"/>
    <n v="0"/>
  </r>
  <r>
    <x v="931"/>
    <x v="543"/>
    <x v="927"/>
    <x v="4"/>
    <x v="1"/>
    <x v="927"/>
    <s v="623 Main St"/>
    <x v="2"/>
    <x v="1"/>
    <x v="931"/>
    <n v="4"/>
    <x v="0"/>
    <x v="4"/>
    <x v="928"/>
    <n v="0"/>
  </r>
  <r>
    <x v="932"/>
    <x v="465"/>
    <x v="928"/>
    <x v="5"/>
    <x v="1"/>
    <x v="928"/>
    <s v="168 Main St"/>
    <x v="1"/>
    <x v="3"/>
    <x v="932"/>
    <n v="7"/>
    <x v="3"/>
    <x v="0"/>
    <x v="929"/>
    <n v="0"/>
  </r>
  <r>
    <x v="933"/>
    <x v="595"/>
    <x v="929"/>
    <x v="0"/>
    <x v="1"/>
    <x v="929"/>
    <s v="255 Main St"/>
    <x v="1"/>
    <x v="0"/>
    <x v="933"/>
    <n v="2"/>
    <x v="2"/>
    <x v="1"/>
    <x v="930"/>
    <n v="0"/>
  </r>
  <r>
    <x v="934"/>
    <x v="565"/>
    <x v="930"/>
    <x v="5"/>
    <x v="3"/>
    <x v="930"/>
    <s v="692 Main St"/>
    <x v="3"/>
    <x v="0"/>
    <x v="934"/>
    <n v="8"/>
    <x v="1"/>
    <x v="1"/>
    <x v="931"/>
    <n v="0"/>
  </r>
  <r>
    <x v="935"/>
    <x v="254"/>
    <x v="931"/>
    <x v="1"/>
    <x v="4"/>
    <x v="931"/>
    <s v="398 Main St"/>
    <x v="2"/>
    <x v="3"/>
    <x v="935"/>
    <n v="3"/>
    <x v="1"/>
    <x v="0"/>
    <x v="932"/>
    <n v="0"/>
  </r>
  <r>
    <x v="936"/>
    <x v="596"/>
    <x v="932"/>
    <x v="3"/>
    <x v="3"/>
    <x v="932"/>
    <s v="737 Main St"/>
    <x v="1"/>
    <x v="3"/>
    <x v="936"/>
    <n v="4"/>
    <x v="0"/>
    <x v="0"/>
    <x v="933"/>
    <n v="0"/>
  </r>
  <r>
    <x v="937"/>
    <x v="462"/>
    <x v="933"/>
    <x v="3"/>
    <x v="1"/>
    <x v="933"/>
    <s v="536 Main St"/>
    <x v="0"/>
    <x v="1"/>
    <x v="937"/>
    <n v="5"/>
    <x v="3"/>
    <x v="2"/>
    <x v="934"/>
    <n v="0"/>
  </r>
  <r>
    <x v="938"/>
    <x v="219"/>
    <x v="934"/>
    <x v="3"/>
    <x v="4"/>
    <x v="934"/>
    <s v="696 Main St"/>
    <x v="2"/>
    <x v="1"/>
    <x v="938"/>
    <n v="6"/>
    <x v="3"/>
    <x v="1"/>
    <x v="935"/>
    <n v="0"/>
  </r>
  <r>
    <x v="939"/>
    <x v="597"/>
    <x v="935"/>
    <x v="5"/>
    <x v="1"/>
    <x v="935"/>
    <s v="212 Main St"/>
    <x v="4"/>
    <x v="3"/>
    <x v="939"/>
    <n v="7"/>
    <x v="0"/>
    <x v="0"/>
    <x v="936"/>
    <n v="0"/>
  </r>
  <r>
    <x v="940"/>
    <x v="14"/>
    <x v="936"/>
    <x v="4"/>
    <x v="3"/>
    <x v="936"/>
    <s v="679 Main St"/>
    <x v="1"/>
    <x v="1"/>
    <x v="940"/>
    <n v="4"/>
    <x v="0"/>
    <x v="4"/>
    <x v="937"/>
    <n v="0"/>
  </r>
  <r>
    <x v="941"/>
    <x v="15"/>
    <x v="439"/>
    <x v="4"/>
    <x v="0"/>
    <x v="937"/>
    <s v="599 Main St"/>
    <x v="2"/>
    <x v="1"/>
    <x v="941"/>
    <n v="9"/>
    <x v="1"/>
    <x v="2"/>
    <x v="938"/>
    <n v="0"/>
  </r>
  <r>
    <x v="942"/>
    <x v="372"/>
    <x v="937"/>
    <x v="2"/>
    <x v="2"/>
    <x v="938"/>
    <s v="882 Main St"/>
    <x v="2"/>
    <x v="4"/>
    <x v="942"/>
    <n v="1"/>
    <x v="2"/>
    <x v="2"/>
    <x v="939"/>
    <n v="0"/>
  </r>
  <r>
    <x v="943"/>
    <x v="140"/>
    <x v="938"/>
    <x v="0"/>
    <x v="4"/>
    <x v="939"/>
    <s v="355 Main St"/>
    <x v="3"/>
    <x v="2"/>
    <x v="943"/>
    <n v="6"/>
    <x v="1"/>
    <x v="3"/>
    <x v="940"/>
    <n v="0"/>
  </r>
  <r>
    <x v="944"/>
    <x v="393"/>
    <x v="939"/>
    <x v="5"/>
    <x v="1"/>
    <x v="940"/>
    <s v="448 Main St"/>
    <x v="1"/>
    <x v="3"/>
    <x v="944"/>
    <n v="7"/>
    <x v="3"/>
    <x v="4"/>
    <x v="941"/>
    <n v="0"/>
  </r>
  <r>
    <x v="945"/>
    <x v="38"/>
    <x v="940"/>
    <x v="2"/>
    <x v="0"/>
    <x v="941"/>
    <s v="619 Main St"/>
    <x v="3"/>
    <x v="0"/>
    <x v="945"/>
    <n v="10"/>
    <x v="1"/>
    <x v="1"/>
    <x v="942"/>
    <n v="0"/>
  </r>
  <r>
    <x v="946"/>
    <x v="598"/>
    <x v="941"/>
    <x v="1"/>
    <x v="1"/>
    <x v="942"/>
    <s v="546 Main St"/>
    <x v="4"/>
    <x v="0"/>
    <x v="946"/>
    <n v="4"/>
    <x v="0"/>
    <x v="2"/>
    <x v="943"/>
    <n v="0"/>
  </r>
  <r>
    <x v="947"/>
    <x v="599"/>
    <x v="942"/>
    <x v="1"/>
    <x v="3"/>
    <x v="943"/>
    <s v="119 Main St"/>
    <x v="1"/>
    <x v="2"/>
    <x v="947"/>
    <n v="9"/>
    <x v="1"/>
    <x v="2"/>
    <x v="944"/>
    <n v="0"/>
  </r>
  <r>
    <x v="948"/>
    <x v="587"/>
    <x v="445"/>
    <x v="1"/>
    <x v="1"/>
    <x v="944"/>
    <s v="739 Main St"/>
    <x v="3"/>
    <x v="1"/>
    <x v="948"/>
    <n v="2"/>
    <x v="2"/>
    <x v="4"/>
    <x v="945"/>
    <n v="0"/>
  </r>
  <r>
    <x v="949"/>
    <x v="576"/>
    <x v="943"/>
    <x v="6"/>
    <x v="0"/>
    <x v="945"/>
    <s v="319 Main St"/>
    <x v="4"/>
    <x v="4"/>
    <x v="949"/>
    <n v="10"/>
    <x v="2"/>
    <x v="1"/>
    <x v="946"/>
    <n v="0"/>
  </r>
  <r>
    <x v="950"/>
    <x v="583"/>
    <x v="944"/>
    <x v="5"/>
    <x v="2"/>
    <x v="946"/>
    <s v="891 Main St"/>
    <x v="2"/>
    <x v="2"/>
    <x v="950"/>
    <n v="4"/>
    <x v="1"/>
    <x v="0"/>
    <x v="947"/>
    <n v="0"/>
  </r>
  <r>
    <x v="951"/>
    <x v="319"/>
    <x v="945"/>
    <x v="4"/>
    <x v="1"/>
    <x v="947"/>
    <s v="589 Main St"/>
    <x v="1"/>
    <x v="2"/>
    <x v="951"/>
    <n v="4"/>
    <x v="1"/>
    <x v="2"/>
    <x v="948"/>
    <n v="0"/>
  </r>
  <r>
    <x v="952"/>
    <x v="37"/>
    <x v="946"/>
    <x v="0"/>
    <x v="4"/>
    <x v="948"/>
    <s v="225 Main St"/>
    <x v="1"/>
    <x v="4"/>
    <x v="952"/>
    <n v="5"/>
    <x v="2"/>
    <x v="3"/>
    <x v="949"/>
    <n v="0"/>
  </r>
  <r>
    <x v="953"/>
    <x v="600"/>
    <x v="947"/>
    <x v="1"/>
    <x v="2"/>
    <x v="949"/>
    <s v="971 Main St"/>
    <x v="4"/>
    <x v="0"/>
    <x v="953"/>
    <n v="2"/>
    <x v="1"/>
    <x v="3"/>
    <x v="950"/>
    <n v="0"/>
  </r>
  <r>
    <x v="954"/>
    <x v="601"/>
    <x v="948"/>
    <x v="3"/>
    <x v="4"/>
    <x v="950"/>
    <s v="240 Main St"/>
    <x v="3"/>
    <x v="0"/>
    <x v="954"/>
    <n v="3"/>
    <x v="1"/>
    <x v="4"/>
    <x v="951"/>
    <n v="0"/>
  </r>
  <r>
    <x v="955"/>
    <x v="19"/>
    <x v="949"/>
    <x v="3"/>
    <x v="2"/>
    <x v="951"/>
    <s v="164 Main St"/>
    <x v="3"/>
    <x v="0"/>
    <x v="955"/>
    <n v="3"/>
    <x v="3"/>
    <x v="0"/>
    <x v="952"/>
    <n v="0"/>
  </r>
  <r>
    <x v="956"/>
    <x v="166"/>
    <x v="781"/>
    <x v="1"/>
    <x v="1"/>
    <x v="952"/>
    <s v="381 Main St"/>
    <x v="0"/>
    <x v="3"/>
    <x v="956"/>
    <n v="3"/>
    <x v="0"/>
    <x v="1"/>
    <x v="953"/>
    <n v="0"/>
  </r>
  <r>
    <x v="957"/>
    <x v="602"/>
    <x v="950"/>
    <x v="0"/>
    <x v="0"/>
    <x v="953"/>
    <s v="851 Main St"/>
    <x v="4"/>
    <x v="2"/>
    <x v="957"/>
    <n v="8"/>
    <x v="3"/>
    <x v="3"/>
    <x v="954"/>
    <n v="0"/>
  </r>
  <r>
    <x v="958"/>
    <x v="603"/>
    <x v="951"/>
    <x v="6"/>
    <x v="4"/>
    <x v="954"/>
    <s v="537 Main St"/>
    <x v="3"/>
    <x v="3"/>
    <x v="958"/>
    <n v="7"/>
    <x v="3"/>
    <x v="2"/>
    <x v="955"/>
    <n v="0"/>
  </r>
  <r>
    <x v="959"/>
    <x v="604"/>
    <x v="952"/>
    <x v="2"/>
    <x v="1"/>
    <x v="955"/>
    <s v="856 Main St"/>
    <x v="2"/>
    <x v="2"/>
    <x v="959"/>
    <n v="6"/>
    <x v="0"/>
    <x v="0"/>
    <x v="956"/>
    <n v="0"/>
  </r>
  <r>
    <x v="960"/>
    <x v="66"/>
    <x v="953"/>
    <x v="5"/>
    <x v="4"/>
    <x v="956"/>
    <s v="312 Main St"/>
    <x v="3"/>
    <x v="4"/>
    <x v="960"/>
    <n v="3"/>
    <x v="3"/>
    <x v="4"/>
    <x v="957"/>
    <n v="0"/>
  </r>
  <r>
    <x v="961"/>
    <x v="435"/>
    <x v="954"/>
    <x v="1"/>
    <x v="2"/>
    <x v="957"/>
    <s v="532 Main St"/>
    <x v="1"/>
    <x v="0"/>
    <x v="961"/>
    <n v="1"/>
    <x v="2"/>
    <x v="3"/>
    <x v="958"/>
    <n v="0"/>
  </r>
  <r>
    <x v="962"/>
    <x v="605"/>
    <x v="955"/>
    <x v="1"/>
    <x v="1"/>
    <x v="958"/>
    <s v="838 Main St"/>
    <x v="3"/>
    <x v="3"/>
    <x v="962"/>
    <n v="4"/>
    <x v="0"/>
    <x v="1"/>
    <x v="959"/>
    <n v="0"/>
  </r>
  <r>
    <x v="963"/>
    <x v="606"/>
    <x v="956"/>
    <x v="3"/>
    <x v="0"/>
    <x v="959"/>
    <s v="970 Main St"/>
    <x v="1"/>
    <x v="0"/>
    <x v="963"/>
    <n v="9"/>
    <x v="1"/>
    <x v="4"/>
    <x v="960"/>
    <n v="0"/>
  </r>
  <r>
    <x v="964"/>
    <x v="38"/>
    <x v="957"/>
    <x v="1"/>
    <x v="0"/>
    <x v="960"/>
    <s v="778 Main St"/>
    <x v="2"/>
    <x v="1"/>
    <x v="964"/>
    <n v="10"/>
    <x v="0"/>
    <x v="1"/>
    <x v="961"/>
    <n v="0"/>
  </r>
  <r>
    <x v="965"/>
    <x v="607"/>
    <x v="958"/>
    <x v="5"/>
    <x v="3"/>
    <x v="961"/>
    <s v="791 Main St"/>
    <x v="3"/>
    <x v="1"/>
    <x v="965"/>
    <n v="5"/>
    <x v="1"/>
    <x v="2"/>
    <x v="962"/>
    <n v="0"/>
  </r>
  <r>
    <x v="966"/>
    <x v="608"/>
    <x v="959"/>
    <x v="0"/>
    <x v="0"/>
    <x v="962"/>
    <s v="290 Main St"/>
    <x v="2"/>
    <x v="1"/>
    <x v="966"/>
    <n v="7"/>
    <x v="3"/>
    <x v="3"/>
    <x v="963"/>
    <n v="0"/>
  </r>
  <r>
    <x v="967"/>
    <x v="138"/>
    <x v="960"/>
    <x v="2"/>
    <x v="0"/>
    <x v="963"/>
    <s v="502 Main St"/>
    <x v="2"/>
    <x v="2"/>
    <x v="967"/>
    <n v="5"/>
    <x v="1"/>
    <x v="4"/>
    <x v="964"/>
    <n v="0"/>
  </r>
  <r>
    <x v="968"/>
    <x v="458"/>
    <x v="961"/>
    <x v="0"/>
    <x v="3"/>
    <x v="964"/>
    <s v="664 Main St"/>
    <x v="2"/>
    <x v="0"/>
    <x v="968"/>
    <n v="6"/>
    <x v="3"/>
    <x v="1"/>
    <x v="965"/>
    <n v="0"/>
  </r>
  <r>
    <x v="969"/>
    <x v="85"/>
    <x v="962"/>
    <x v="6"/>
    <x v="2"/>
    <x v="965"/>
    <s v="675 Main St"/>
    <x v="3"/>
    <x v="0"/>
    <x v="969"/>
    <n v="2"/>
    <x v="3"/>
    <x v="3"/>
    <x v="966"/>
    <n v="0"/>
  </r>
  <r>
    <x v="970"/>
    <x v="609"/>
    <x v="963"/>
    <x v="6"/>
    <x v="2"/>
    <x v="966"/>
    <s v="241 Main St"/>
    <x v="4"/>
    <x v="3"/>
    <x v="970"/>
    <n v="5"/>
    <x v="0"/>
    <x v="0"/>
    <x v="967"/>
    <n v="0"/>
  </r>
  <r>
    <x v="971"/>
    <x v="582"/>
    <x v="964"/>
    <x v="0"/>
    <x v="1"/>
    <x v="967"/>
    <s v="934 Main St"/>
    <x v="4"/>
    <x v="1"/>
    <x v="971"/>
    <n v="4"/>
    <x v="3"/>
    <x v="1"/>
    <x v="968"/>
    <n v="0"/>
  </r>
  <r>
    <x v="972"/>
    <x v="410"/>
    <x v="965"/>
    <x v="5"/>
    <x v="2"/>
    <x v="968"/>
    <s v="816 Main St"/>
    <x v="4"/>
    <x v="3"/>
    <x v="972"/>
    <n v="5"/>
    <x v="0"/>
    <x v="3"/>
    <x v="969"/>
    <n v="0"/>
  </r>
  <r>
    <x v="973"/>
    <x v="559"/>
    <x v="966"/>
    <x v="6"/>
    <x v="0"/>
    <x v="969"/>
    <s v="141 Main St"/>
    <x v="1"/>
    <x v="4"/>
    <x v="973"/>
    <n v="10"/>
    <x v="3"/>
    <x v="1"/>
    <x v="970"/>
    <n v="0"/>
  </r>
  <r>
    <x v="974"/>
    <x v="610"/>
    <x v="967"/>
    <x v="6"/>
    <x v="0"/>
    <x v="970"/>
    <s v="274 Main St"/>
    <x v="3"/>
    <x v="1"/>
    <x v="974"/>
    <n v="5"/>
    <x v="2"/>
    <x v="2"/>
    <x v="971"/>
    <n v="0"/>
  </r>
  <r>
    <x v="975"/>
    <x v="419"/>
    <x v="968"/>
    <x v="6"/>
    <x v="2"/>
    <x v="971"/>
    <s v="974 Main St"/>
    <x v="3"/>
    <x v="2"/>
    <x v="975"/>
    <n v="6"/>
    <x v="0"/>
    <x v="2"/>
    <x v="972"/>
    <n v="0"/>
  </r>
  <r>
    <x v="976"/>
    <x v="172"/>
    <x v="969"/>
    <x v="2"/>
    <x v="4"/>
    <x v="972"/>
    <s v="650 Main St"/>
    <x v="2"/>
    <x v="2"/>
    <x v="976"/>
    <n v="6"/>
    <x v="3"/>
    <x v="1"/>
    <x v="973"/>
    <n v="0"/>
  </r>
  <r>
    <x v="977"/>
    <x v="423"/>
    <x v="970"/>
    <x v="3"/>
    <x v="3"/>
    <x v="973"/>
    <s v="608 Main St"/>
    <x v="4"/>
    <x v="4"/>
    <x v="977"/>
    <n v="8"/>
    <x v="0"/>
    <x v="4"/>
    <x v="974"/>
    <n v="0"/>
  </r>
  <r>
    <x v="978"/>
    <x v="611"/>
    <x v="971"/>
    <x v="4"/>
    <x v="3"/>
    <x v="974"/>
    <s v="993 Main St"/>
    <x v="4"/>
    <x v="3"/>
    <x v="978"/>
    <n v="5"/>
    <x v="2"/>
    <x v="4"/>
    <x v="975"/>
    <n v="0"/>
  </r>
  <r>
    <x v="979"/>
    <x v="546"/>
    <x v="972"/>
    <x v="0"/>
    <x v="4"/>
    <x v="975"/>
    <s v="299 Main St"/>
    <x v="4"/>
    <x v="3"/>
    <x v="979"/>
    <n v="7"/>
    <x v="0"/>
    <x v="3"/>
    <x v="976"/>
    <n v="0"/>
  </r>
  <r>
    <x v="980"/>
    <x v="612"/>
    <x v="973"/>
    <x v="3"/>
    <x v="4"/>
    <x v="976"/>
    <s v="107 Main St"/>
    <x v="4"/>
    <x v="3"/>
    <x v="980"/>
    <n v="7"/>
    <x v="3"/>
    <x v="0"/>
    <x v="977"/>
    <n v="0"/>
  </r>
  <r>
    <x v="981"/>
    <x v="371"/>
    <x v="974"/>
    <x v="1"/>
    <x v="3"/>
    <x v="977"/>
    <s v="490 Main St"/>
    <x v="0"/>
    <x v="4"/>
    <x v="981"/>
    <n v="8"/>
    <x v="0"/>
    <x v="2"/>
    <x v="978"/>
    <n v="0"/>
  </r>
  <r>
    <x v="982"/>
    <x v="605"/>
    <x v="975"/>
    <x v="0"/>
    <x v="2"/>
    <x v="978"/>
    <s v="707 Main St"/>
    <x v="3"/>
    <x v="0"/>
    <x v="982"/>
    <n v="2"/>
    <x v="0"/>
    <x v="1"/>
    <x v="979"/>
    <n v="0"/>
  </r>
  <r>
    <x v="983"/>
    <x v="167"/>
    <x v="976"/>
    <x v="0"/>
    <x v="3"/>
    <x v="979"/>
    <s v="110 Main St"/>
    <x v="3"/>
    <x v="0"/>
    <x v="983"/>
    <n v="5"/>
    <x v="0"/>
    <x v="2"/>
    <x v="980"/>
    <n v="0"/>
  </r>
  <r>
    <x v="984"/>
    <x v="252"/>
    <x v="977"/>
    <x v="6"/>
    <x v="2"/>
    <x v="980"/>
    <s v="706 Main St"/>
    <x v="2"/>
    <x v="0"/>
    <x v="984"/>
    <n v="1"/>
    <x v="1"/>
    <x v="3"/>
    <x v="981"/>
    <n v="0"/>
  </r>
  <r>
    <x v="985"/>
    <x v="351"/>
    <x v="978"/>
    <x v="6"/>
    <x v="2"/>
    <x v="981"/>
    <s v="948 Main St"/>
    <x v="3"/>
    <x v="3"/>
    <x v="985"/>
    <n v="6"/>
    <x v="0"/>
    <x v="4"/>
    <x v="982"/>
    <n v="0"/>
  </r>
  <r>
    <x v="986"/>
    <x v="609"/>
    <x v="979"/>
    <x v="5"/>
    <x v="3"/>
    <x v="982"/>
    <s v="533 Main St"/>
    <x v="2"/>
    <x v="4"/>
    <x v="986"/>
    <n v="7"/>
    <x v="1"/>
    <x v="2"/>
    <x v="983"/>
    <n v="0"/>
  </r>
  <r>
    <x v="987"/>
    <x v="85"/>
    <x v="980"/>
    <x v="1"/>
    <x v="0"/>
    <x v="983"/>
    <s v="436 Main St"/>
    <x v="3"/>
    <x v="4"/>
    <x v="987"/>
    <n v="8"/>
    <x v="1"/>
    <x v="0"/>
    <x v="984"/>
    <n v="0"/>
  </r>
  <r>
    <x v="988"/>
    <x v="496"/>
    <x v="981"/>
    <x v="6"/>
    <x v="1"/>
    <x v="984"/>
    <s v="818 Main St"/>
    <x v="3"/>
    <x v="1"/>
    <x v="988"/>
    <n v="5"/>
    <x v="3"/>
    <x v="0"/>
    <x v="985"/>
    <n v="0"/>
  </r>
  <r>
    <x v="989"/>
    <x v="613"/>
    <x v="982"/>
    <x v="5"/>
    <x v="3"/>
    <x v="985"/>
    <s v="559 Main St"/>
    <x v="2"/>
    <x v="4"/>
    <x v="989"/>
    <n v="4"/>
    <x v="0"/>
    <x v="0"/>
    <x v="986"/>
    <n v="0"/>
  </r>
  <r>
    <x v="990"/>
    <x v="614"/>
    <x v="983"/>
    <x v="1"/>
    <x v="1"/>
    <x v="986"/>
    <s v="913 Main St"/>
    <x v="0"/>
    <x v="4"/>
    <x v="990"/>
    <n v="2"/>
    <x v="0"/>
    <x v="4"/>
    <x v="987"/>
    <n v="0"/>
  </r>
  <r>
    <x v="991"/>
    <x v="593"/>
    <x v="984"/>
    <x v="6"/>
    <x v="0"/>
    <x v="66"/>
    <s v="598 Main St"/>
    <x v="0"/>
    <x v="1"/>
    <x v="991"/>
    <n v="10"/>
    <x v="1"/>
    <x v="4"/>
    <x v="66"/>
    <n v="0"/>
  </r>
  <r>
    <x v="992"/>
    <x v="615"/>
    <x v="985"/>
    <x v="4"/>
    <x v="4"/>
    <x v="987"/>
    <s v="933 Main St"/>
    <x v="3"/>
    <x v="4"/>
    <x v="992"/>
    <n v="4"/>
    <x v="3"/>
    <x v="1"/>
    <x v="988"/>
    <n v="0"/>
  </r>
  <r>
    <x v="993"/>
    <x v="616"/>
    <x v="986"/>
    <x v="0"/>
    <x v="4"/>
    <x v="988"/>
    <s v="576 Main St"/>
    <x v="3"/>
    <x v="3"/>
    <x v="993"/>
    <n v="5"/>
    <x v="3"/>
    <x v="0"/>
    <x v="989"/>
    <n v="0"/>
  </r>
  <r>
    <x v="994"/>
    <x v="326"/>
    <x v="987"/>
    <x v="2"/>
    <x v="3"/>
    <x v="989"/>
    <s v="971 Main St"/>
    <x v="0"/>
    <x v="3"/>
    <x v="994"/>
    <n v="9"/>
    <x v="3"/>
    <x v="4"/>
    <x v="990"/>
    <n v="0"/>
  </r>
  <r>
    <x v="995"/>
    <x v="134"/>
    <x v="988"/>
    <x v="0"/>
    <x v="1"/>
    <x v="990"/>
    <s v="959 Main St"/>
    <x v="4"/>
    <x v="4"/>
    <x v="995"/>
    <n v="5"/>
    <x v="0"/>
    <x v="3"/>
    <x v="991"/>
    <n v="0"/>
  </r>
  <r>
    <x v="996"/>
    <x v="578"/>
    <x v="989"/>
    <x v="0"/>
    <x v="3"/>
    <x v="991"/>
    <s v="101 Main St"/>
    <x v="0"/>
    <x v="3"/>
    <x v="996"/>
    <n v="7"/>
    <x v="0"/>
    <x v="3"/>
    <x v="992"/>
    <n v="0"/>
  </r>
  <r>
    <x v="997"/>
    <x v="110"/>
    <x v="990"/>
    <x v="5"/>
    <x v="4"/>
    <x v="992"/>
    <s v="805 Main St"/>
    <x v="4"/>
    <x v="3"/>
    <x v="997"/>
    <n v="6"/>
    <x v="0"/>
    <x v="3"/>
    <x v="993"/>
    <n v="0"/>
  </r>
  <r>
    <x v="998"/>
    <x v="213"/>
    <x v="991"/>
    <x v="1"/>
    <x v="1"/>
    <x v="358"/>
    <s v="783 Main St"/>
    <x v="0"/>
    <x v="1"/>
    <x v="998"/>
    <n v="6"/>
    <x v="0"/>
    <x v="4"/>
    <x v="357"/>
    <n v="0"/>
  </r>
  <r>
    <x v="999"/>
    <x v="478"/>
    <x v="992"/>
    <x v="4"/>
    <x v="2"/>
    <x v="993"/>
    <s v="652 Main St"/>
    <x v="4"/>
    <x v="4"/>
    <x v="999"/>
    <n v="6"/>
    <x v="1"/>
    <x v="4"/>
    <x v="994"/>
    <n v="0"/>
  </r>
  <r>
    <x v="1000"/>
    <x v="617"/>
    <x v="993"/>
    <x v="4"/>
    <x v="0"/>
    <x v="994"/>
    <s v="582 Main St"/>
    <x v="1"/>
    <x v="3"/>
    <x v="1000"/>
    <n v="9"/>
    <x v="0"/>
    <x v="2"/>
    <x v="995"/>
    <n v="0"/>
  </r>
  <r>
    <x v="1001"/>
    <x v="618"/>
    <x v="994"/>
    <x v="4"/>
    <x v="1"/>
    <x v="995"/>
    <s v="122 Main St"/>
    <x v="3"/>
    <x v="0"/>
    <x v="1001"/>
    <n v="6"/>
    <x v="2"/>
    <x v="1"/>
    <x v="996"/>
    <n v="0"/>
  </r>
  <r>
    <x v="1002"/>
    <x v="619"/>
    <x v="995"/>
    <x v="2"/>
    <x v="3"/>
    <x v="996"/>
    <s v="944 Main St"/>
    <x v="4"/>
    <x v="4"/>
    <x v="1002"/>
    <n v="5"/>
    <x v="3"/>
    <x v="1"/>
    <x v="997"/>
    <n v="0"/>
  </r>
  <r>
    <x v="1003"/>
    <x v="348"/>
    <x v="996"/>
    <x v="4"/>
    <x v="0"/>
    <x v="997"/>
    <s v="582 Main St"/>
    <x v="4"/>
    <x v="0"/>
    <x v="1003"/>
    <n v="7"/>
    <x v="0"/>
    <x v="4"/>
    <x v="998"/>
    <n v="0"/>
  </r>
  <r>
    <x v="1004"/>
    <x v="559"/>
    <x v="997"/>
    <x v="3"/>
    <x v="3"/>
    <x v="998"/>
    <s v="296 Main St"/>
    <x v="1"/>
    <x v="4"/>
    <x v="1004"/>
    <n v="8"/>
    <x v="0"/>
    <x v="1"/>
    <x v="999"/>
    <n v="0"/>
  </r>
  <r>
    <x v="1005"/>
    <x v="521"/>
    <x v="998"/>
    <x v="4"/>
    <x v="4"/>
    <x v="999"/>
    <s v="426 Main St"/>
    <x v="2"/>
    <x v="2"/>
    <x v="1005"/>
    <n v="6"/>
    <x v="2"/>
    <x v="4"/>
    <x v="1000"/>
    <n v="0"/>
  </r>
  <r>
    <x v="1006"/>
    <x v="582"/>
    <x v="999"/>
    <x v="2"/>
    <x v="0"/>
    <x v="1000"/>
    <s v="860 Main St"/>
    <x v="4"/>
    <x v="3"/>
    <x v="1006"/>
    <n v="7"/>
    <x v="0"/>
    <x v="3"/>
    <x v="1001"/>
    <n v="0"/>
  </r>
  <r>
    <x v="1007"/>
    <x v="591"/>
    <x v="485"/>
    <x v="0"/>
    <x v="1"/>
    <x v="1001"/>
    <s v="839 Main St"/>
    <x v="4"/>
    <x v="4"/>
    <x v="1007"/>
    <n v="4"/>
    <x v="3"/>
    <x v="3"/>
    <x v="1002"/>
    <n v="0"/>
  </r>
  <r>
    <x v="1008"/>
    <x v="620"/>
    <x v="1000"/>
    <x v="0"/>
    <x v="4"/>
    <x v="1002"/>
    <s v="257 Main St"/>
    <x v="4"/>
    <x v="3"/>
    <x v="1008"/>
    <n v="8"/>
    <x v="1"/>
    <x v="0"/>
    <x v="1003"/>
    <n v="0"/>
  </r>
  <r>
    <x v="1009"/>
    <x v="621"/>
    <x v="1001"/>
    <x v="2"/>
    <x v="1"/>
    <x v="1003"/>
    <s v="696 Main St"/>
    <x v="2"/>
    <x v="3"/>
    <x v="1009"/>
    <n v="2"/>
    <x v="1"/>
    <x v="2"/>
    <x v="1004"/>
    <n v="0"/>
  </r>
  <r>
    <x v="1010"/>
    <x v="622"/>
    <x v="1002"/>
    <x v="0"/>
    <x v="4"/>
    <x v="1004"/>
    <s v="533 Main St"/>
    <x v="2"/>
    <x v="1"/>
    <x v="1010"/>
    <n v="6"/>
    <x v="0"/>
    <x v="2"/>
    <x v="1005"/>
    <n v="0"/>
  </r>
  <r>
    <x v="1011"/>
    <x v="623"/>
    <x v="1003"/>
    <x v="1"/>
    <x v="1"/>
    <x v="1005"/>
    <s v="654 Main St"/>
    <x v="1"/>
    <x v="0"/>
    <x v="1011"/>
    <n v="3"/>
    <x v="2"/>
    <x v="4"/>
    <x v="1006"/>
    <n v="0"/>
  </r>
  <r>
    <x v="1012"/>
    <x v="623"/>
    <x v="1004"/>
    <x v="4"/>
    <x v="3"/>
    <x v="1006"/>
    <s v="301 Main St"/>
    <x v="1"/>
    <x v="2"/>
    <x v="1012"/>
    <n v="6"/>
    <x v="2"/>
    <x v="3"/>
    <x v="1007"/>
    <n v="0"/>
  </r>
  <r>
    <x v="1013"/>
    <x v="624"/>
    <x v="1005"/>
    <x v="5"/>
    <x v="3"/>
    <x v="1007"/>
    <s v="842 Main St"/>
    <x v="4"/>
    <x v="1"/>
    <x v="1013"/>
    <n v="9"/>
    <x v="1"/>
    <x v="3"/>
    <x v="1008"/>
    <n v="0"/>
  </r>
  <r>
    <x v="1014"/>
    <x v="389"/>
    <x v="1006"/>
    <x v="2"/>
    <x v="0"/>
    <x v="1008"/>
    <s v="160 Main St"/>
    <x v="0"/>
    <x v="2"/>
    <x v="1014"/>
    <n v="6"/>
    <x v="1"/>
    <x v="2"/>
    <x v="1009"/>
    <n v="0"/>
  </r>
  <r>
    <x v="1015"/>
    <x v="547"/>
    <x v="1007"/>
    <x v="4"/>
    <x v="1"/>
    <x v="1009"/>
    <s v="892 Main St"/>
    <x v="1"/>
    <x v="0"/>
    <x v="1015"/>
    <n v="2"/>
    <x v="0"/>
    <x v="0"/>
    <x v="1010"/>
    <n v="0"/>
  </r>
  <r>
    <x v="1016"/>
    <x v="10"/>
    <x v="1008"/>
    <x v="2"/>
    <x v="0"/>
    <x v="1010"/>
    <s v="669 Main St"/>
    <x v="0"/>
    <x v="3"/>
    <x v="1016"/>
    <n v="7"/>
    <x v="3"/>
    <x v="2"/>
    <x v="1011"/>
    <n v="0"/>
  </r>
  <r>
    <x v="1017"/>
    <x v="625"/>
    <x v="1009"/>
    <x v="3"/>
    <x v="1"/>
    <x v="1011"/>
    <s v="953 Main St"/>
    <x v="3"/>
    <x v="3"/>
    <x v="1017"/>
    <n v="6"/>
    <x v="1"/>
    <x v="1"/>
    <x v="1012"/>
    <n v="0"/>
  </r>
  <r>
    <x v="1018"/>
    <x v="307"/>
    <x v="1010"/>
    <x v="5"/>
    <x v="4"/>
    <x v="1012"/>
    <s v="209 Main St"/>
    <x v="4"/>
    <x v="3"/>
    <x v="1018"/>
    <n v="3"/>
    <x v="2"/>
    <x v="0"/>
    <x v="1013"/>
    <n v="0"/>
  </r>
  <r>
    <x v="1019"/>
    <x v="616"/>
    <x v="1011"/>
    <x v="6"/>
    <x v="2"/>
    <x v="1013"/>
    <s v="293 Main St"/>
    <x v="4"/>
    <x v="2"/>
    <x v="1019"/>
    <n v="2"/>
    <x v="0"/>
    <x v="1"/>
    <x v="1014"/>
    <n v="0"/>
  </r>
  <r>
    <x v="1020"/>
    <x v="181"/>
    <x v="1012"/>
    <x v="2"/>
    <x v="1"/>
    <x v="1014"/>
    <s v="312 Main St"/>
    <x v="1"/>
    <x v="3"/>
    <x v="1020"/>
    <n v="3"/>
    <x v="0"/>
    <x v="0"/>
    <x v="1015"/>
    <n v="0"/>
  </r>
  <r>
    <x v="1021"/>
    <x v="5"/>
    <x v="1013"/>
    <x v="1"/>
    <x v="4"/>
    <x v="1015"/>
    <s v="309 Main St"/>
    <x v="2"/>
    <x v="1"/>
    <x v="1021"/>
    <n v="4"/>
    <x v="0"/>
    <x v="2"/>
    <x v="1016"/>
    <n v="0"/>
  </r>
  <r>
    <x v="1022"/>
    <x v="522"/>
    <x v="1014"/>
    <x v="2"/>
    <x v="4"/>
    <x v="1016"/>
    <s v="396 Main St"/>
    <x v="2"/>
    <x v="0"/>
    <x v="1022"/>
    <n v="8"/>
    <x v="0"/>
    <x v="1"/>
    <x v="1017"/>
    <n v="0"/>
  </r>
  <r>
    <x v="1023"/>
    <x v="296"/>
    <x v="1015"/>
    <x v="5"/>
    <x v="0"/>
    <x v="1017"/>
    <s v="291 Main St"/>
    <x v="4"/>
    <x v="0"/>
    <x v="1023"/>
    <n v="10"/>
    <x v="2"/>
    <x v="1"/>
    <x v="1018"/>
    <n v="0"/>
  </r>
  <r>
    <x v="1024"/>
    <x v="412"/>
    <x v="1016"/>
    <x v="3"/>
    <x v="4"/>
    <x v="1018"/>
    <s v="731 Main St"/>
    <x v="4"/>
    <x v="4"/>
    <x v="1024"/>
    <n v="7"/>
    <x v="1"/>
    <x v="3"/>
    <x v="1019"/>
    <n v="0"/>
  </r>
  <r>
    <x v="1025"/>
    <x v="271"/>
    <x v="1017"/>
    <x v="3"/>
    <x v="2"/>
    <x v="1019"/>
    <s v="174 Main St"/>
    <x v="3"/>
    <x v="3"/>
    <x v="1025"/>
    <n v="2"/>
    <x v="1"/>
    <x v="0"/>
    <x v="1020"/>
    <n v="0"/>
  </r>
  <r>
    <x v="1026"/>
    <x v="31"/>
    <x v="1018"/>
    <x v="0"/>
    <x v="2"/>
    <x v="1020"/>
    <s v="807 Main St"/>
    <x v="1"/>
    <x v="3"/>
    <x v="1026"/>
    <n v="1"/>
    <x v="3"/>
    <x v="3"/>
    <x v="1021"/>
    <n v="0"/>
  </r>
  <r>
    <x v="1027"/>
    <x v="626"/>
    <x v="1019"/>
    <x v="5"/>
    <x v="3"/>
    <x v="1021"/>
    <s v="983 Main St"/>
    <x v="4"/>
    <x v="2"/>
    <x v="1027"/>
    <n v="6"/>
    <x v="2"/>
    <x v="4"/>
    <x v="1022"/>
    <n v="0"/>
  </r>
  <r>
    <x v="1028"/>
    <x v="96"/>
    <x v="1020"/>
    <x v="6"/>
    <x v="3"/>
    <x v="1022"/>
    <s v="610 Main St"/>
    <x v="4"/>
    <x v="1"/>
    <x v="1028"/>
    <n v="6"/>
    <x v="2"/>
    <x v="0"/>
    <x v="1023"/>
    <n v="0"/>
  </r>
  <r>
    <x v="1029"/>
    <x v="627"/>
    <x v="1021"/>
    <x v="6"/>
    <x v="2"/>
    <x v="1023"/>
    <s v="851 Main St"/>
    <x v="2"/>
    <x v="0"/>
    <x v="1029"/>
    <n v="4"/>
    <x v="1"/>
    <x v="2"/>
    <x v="1024"/>
    <n v="0"/>
  </r>
  <r>
    <x v="1030"/>
    <x v="276"/>
    <x v="1022"/>
    <x v="1"/>
    <x v="3"/>
    <x v="1024"/>
    <s v="176 Main St"/>
    <x v="2"/>
    <x v="3"/>
    <x v="1030"/>
    <n v="6"/>
    <x v="3"/>
    <x v="2"/>
    <x v="1025"/>
    <n v="0"/>
  </r>
  <r>
    <x v="1031"/>
    <x v="285"/>
    <x v="1023"/>
    <x v="1"/>
    <x v="0"/>
    <x v="1025"/>
    <s v="136 Main St"/>
    <x v="0"/>
    <x v="4"/>
    <x v="1031"/>
    <n v="8"/>
    <x v="0"/>
    <x v="2"/>
    <x v="1026"/>
    <n v="0"/>
  </r>
  <r>
    <x v="1032"/>
    <x v="197"/>
    <x v="1024"/>
    <x v="3"/>
    <x v="2"/>
    <x v="1026"/>
    <s v="990 Main St"/>
    <x v="1"/>
    <x v="3"/>
    <x v="1032"/>
    <n v="6"/>
    <x v="3"/>
    <x v="1"/>
    <x v="1027"/>
    <n v="0"/>
  </r>
  <r>
    <x v="1033"/>
    <x v="628"/>
    <x v="1025"/>
    <x v="0"/>
    <x v="2"/>
    <x v="1027"/>
    <s v="331 Main St"/>
    <x v="3"/>
    <x v="3"/>
    <x v="1033"/>
    <n v="2"/>
    <x v="1"/>
    <x v="1"/>
    <x v="1028"/>
    <n v="0"/>
  </r>
  <r>
    <x v="1034"/>
    <x v="452"/>
    <x v="1026"/>
    <x v="4"/>
    <x v="3"/>
    <x v="1028"/>
    <s v="766 Main St"/>
    <x v="4"/>
    <x v="1"/>
    <x v="1034"/>
    <n v="8"/>
    <x v="1"/>
    <x v="3"/>
    <x v="1029"/>
    <n v="0"/>
  </r>
  <r>
    <x v="1035"/>
    <x v="629"/>
    <x v="1027"/>
    <x v="5"/>
    <x v="3"/>
    <x v="1029"/>
    <s v="911 Main St"/>
    <x v="4"/>
    <x v="1"/>
    <x v="1035"/>
    <n v="5"/>
    <x v="2"/>
    <x v="1"/>
    <x v="1030"/>
    <n v="0"/>
  </r>
  <r>
    <x v="1036"/>
    <x v="583"/>
    <x v="1028"/>
    <x v="1"/>
    <x v="4"/>
    <x v="1030"/>
    <s v="552 Main St"/>
    <x v="3"/>
    <x v="0"/>
    <x v="1036"/>
    <n v="8"/>
    <x v="0"/>
    <x v="3"/>
    <x v="1031"/>
    <n v="0"/>
  </r>
  <r>
    <x v="1037"/>
    <x v="141"/>
    <x v="1029"/>
    <x v="4"/>
    <x v="2"/>
    <x v="1031"/>
    <s v="408 Main St"/>
    <x v="4"/>
    <x v="4"/>
    <x v="1037"/>
    <n v="1"/>
    <x v="0"/>
    <x v="4"/>
    <x v="1032"/>
    <n v="0"/>
  </r>
  <r>
    <x v="1038"/>
    <x v="175"/>
    <x v="1030"/>
    <x v="2"/>
    <x v="4"/>
    <x v="1032"/>
    <s v="422 Main St"/>
    <x v="0"/>
    <x v="2"/>
    <x v="1038"/>
    <n v="5"/>
    <x v="2"/>
    <x v="3"/>
    <x v="1033"/>
    <n v="0"/>
  </r>
  <r>
    <x v="1039"/>
    <x v="164"/>
    <x v="1031"/>
    <x v="6"/>
    <x v="1"/>
    <x v="1033"/>
    <s v="177 Main St"/>
    <x v="2"/>
    <x v="1"/>
    <x v="1039"/>
    <n v="2"/>
    <x v="3"/>
    <x v="0"/>
    <x v="1034"/>
    <n v="0"/>
  </r>
  <r>
    <x v="1040"/>
    <x v="375"/>
    <x v="1032"/>
    <x v="2"/>
    <x v="2"/>
    <x v="1034"/>
    <s v="932 Main St"/>
    <x v="0"/>
    <x v="3"/>
    <x v="1040"/>
    <n v="5"/>
    <x v="1"/>
    <x v="4"/>
    <x v="1035"/>
    <n v="0"/>
  </r>
  <r>
    <x v="1041"/>
    <x v="91"/>
    <x v="1033"/>
    <x v="0"/>
    <x v="3"/>
    <x v="1035"/>
    <s v="948 Main St"/>
    <x v="3"/>
    <x v="0"/>
    <x v="1041"/>
    <n v="9"/>
    <x v="3"/>
    <x v="4"/>
    <x v="1036"/>
    <n v="0"/>
  </r>
  <r>
    <x v="1042"/>
    <x v="65"/>
    <x v="1034"/>
    <x v="2"/>
    <x v="1"/>
    <x v="1036"/>
    <s v="414 Main St"/>
    <x v="0"/>
    <x v="0"/>
    <x v="1042"/>
    <n v="2"/>
    <x v="3"/>
    <x v="3"/>
    <x v="1037"/>
    <n v="0"/>
  </r>
  <r>
    <x v="1043"/>
    <x v="630"/>
    <x v="1035"/>
    <x v="2"/>
    <x v="1"/>
    <x v="1037"/>
    <s v="675 Main St"/>
    <x v="3"/>
    <x v="0"/>
    <x v="1043"/>
    <n v="5"/>
    <x v="2"/>
    <x v="0"/>
    <x v="1038"/>
    <n v="0"/>
  </r>
  <r>
    <x v="1044"/>
    <x v="450"/>
    <x v="1036"/>
    <x v="4"/>
    <x v="2"/>
    <x v="1038"/>
    <s v="215 Main St"/>
    <x v="2"/>
    <x v="3"/>
    <x v="1044"/>
    <n v="4"/>
    <x v="1"/>
    <x v="1"/>
    <x v="1039"/>
    <n v="0"/>
  </r>
  <r>
    <x v="1045"/>
    <x v="28"/>
    <x v="1037"/>
    <x v="5"/>
    <x v="0"/>
    <x v="1039"/>
    <s v="671 Main St"/>
    <x v="3"/>
    <x v="2"/>
    <x v="1045"/>
    <n v="7"/>
    <x v="2"/>
    <x v="2"/>
    <x v="1040"/>
    <n v="0"/>
  </r>
  <r>
    <x v="1046"/>
    <x v="550"/>
    <x v="1038"/>
    <x v="2"/>
    <x v="4"/>
    <x v="1040"/>
    <s v="466 Main St"/>
    <x v="1"/>
    <x v="0"/>
    <x v="1046"/>
    <n v="4"/>
    <x v="3"/>
    <x v="0"/>
    <x v="1041"/>
    <n v="0"/>
  </r>
  <r>
    <x v="1047"/>
    <x v="467"/>
    <x v="1039"/>
    <x v="3"/>
    <x v="3"/>
    <x v="1041"/>
    <s v="394 Main St"/>
    <x v="3"/>
    <x v="0"/>
    <x v="1047"/>
    <n v="6"/>
    <x v="3"/>
    <x v="1"/>
    <x v="1042"/>
    <n v="0"/>
  </r>
  <r>
    <x v="1048"/>
    <x v="82"/>
    <x v="1040"/>
    <x v="0"/>
    <x v="3"/>
    <x v="1042"/>
    <s v="889 Main St"/>
    <x v="0"/>
    <x v="0"/>
    <x v="1048"/>
    <n v="9"/>
    <x v="2"/>
    <x v="4"/>
    <x v="1043"/>
    <n v="0"/>
  </r>
  <r>
    <x v="1049"/>
    <x v="408"/>
    <x v="1041"/>
    <x v="6"/>
    <x v="0"/>
    <x v="1043"/>
    <s v="587 Main St"/>
    <x v="2"/>
    <x v="0"/>
    <x v="1049"/>
    <n v="6"/>
    <x v="2"/>
    <x v="0"/>
    <x v="1044"/>
    <n v="0"/>
  </r>
  <r>
    <x v="1050"/>
    <x v="38"/>
    <x v="1042"/>
    <x v="5"/>
    <x v="0"/>
    <x v="1044"/>
    <s v="722 Main St"/>
    <x v="1"/>
    <x v="2"/>
    <x v="1050"/>
    <n v="9"/>
    <x v="2"/>
    <x v="0"/>
    <x v="1045"/>
    <n v="0"/>
  </r>
  <r>
    <x v="1051"/>
    <x v="376"/>
    <x v="1043"/>
    <x v="0"/>
    <x v="0"/>
    <x v="1045"/>
    <s v="820 Main St"/>
    <x v="3"/>
    <x v="0"/>
    <x v="1051"/>
    <n v="5"/>
    <x v="1"/>
    <x v="3"/>
    <x v="1046"/>
    <n v="0"/>
  </r>
  <r>
    <x v="1052"/>
    <x v="631"/>
    <x v="1044"/>
    <x v="2"/>
    <x v="2"/>
    <x v="1046"/>
    <s v="493 Main St"/>
    <x v="1"/>
    <x v="0"/>
    <x v="1052"/>
    <n v="1"/>
    <x v="3"/>
    <x v="4"/>
    <x v="1047"/>
    <n v="0"/>
  </r>
  <r>
    <x v="1053"/>
    <x v="632"/>
    <x v="1045"/>
    <x v="1"/>
    <x v="1"/>
    <x v="1047"/>
    <s v="679 Main St"/>
    <x v="1"/>
    <x v="4"/>
    <x v="1053"/>
    <n v="2"/>
    <x v="0"/>
    <x v="0"/>
    <x v="1048"/>
    <n v="0"/>
  </r>
  <r>
    <x v="1054"/>
    <x v="633"/>
    <x v="1046"/>
    <x v="4"/>
    <x v="2"/>
    <x v="1048"/>
    <s v="447 Main St"/>
    <x v="0"/>
    <x v="3"/>
    <x v="1054"/>
    <n v="3"/>
    <x v="3"/>
    <x v="0"/>
    <x v="1049"/>
    <n v="0"/>
  </r>
  <r>
    <x v="1055"/>
    <x v="5"/>
    <x v="1047"/>
    <x v="0"/>
    <x v="3"/>
    <x v="1049"/>
    <s v="932 Main St"/>
    <x v="0"/>
    <x v="3"/>
    <x v="1055"/>
    <n v="9"/>
    <x v="3"/>
    <x v="2"/>
    <x v="1050"/>
    <n v="0"/>
  </r>
  <r>
    <x v="1056"/>
    <x v="280"/>
    <x v="1048"/>
    <x v="1"/>
    <x v="1"/>
    <x v="1050"/>
    <s v="790 Main St"/>
    <x v="1"/>
    <x v="4"/>
    <x v="1056"/>
    <n v="6"/>
    <x v="0"/>
    <x v="1"/>
    <x v="1051"/>
    <n v="0"/>
  </r>
  <r>
    <x v="1057"/>
    <x v="634"/>
    <x v="1049"/>
    <x v="5"/>
    <x v="4"/>
    <x v="1051"/>
    <s v="535 Main St"/>
    <x v="0"/>
    <x v="0"/>
    <x v="1057"/>
    <n v="3"/>
    <x v="3"/>
    <x v="3"/>
    <x v="1052"/>
    <n v="0"/>
  </r>
  <r>
    <x v="1058"/>
    <x v="102"/>
    <x v="1050"/>
    <x v="6"/>
    <x v="1"/>
    <x v="1052"/>
    <s v="127 Main St"/>
    <x v="2"/>
    <x v="2"/>
    <x v="1058"/>
    <n v="2"/>
    <x v="1"/>
    <x v="0"/>
    <x v="1053"/>
    <n v="0"/>
  </r>
  <r>
    <x v="1059"/>
    <x v="491"/>
    <x v="1051"/>
    <x v="6"/>
    <x v="2"/>
    <x v="1053"/>
    <s v="601 Main St"/>
    <x v="2"/>
    <x v="2"/>
    <x v="1059"/>
    <n v="3"/>
    <x v="3"/>
    <x v="0"/>
    <x v="1054"/>
    <n v="0"/>
  </r>
  <r>
    <x v="1060"/>
    <x v="635"/>
    <x v="1052"/>
    <x v="2"/>
    <x v="1"/>
    <x v="1054"/>
    <s v="824 Main St"/>
    <x v="4"/>
    <x v="0"/>
    <x v="1060"/>
    <n v="7"/>
    <x v="3"/>
    <x v="1"/>
    <x v="1055"/>
    <n v="0"/>
  </r>
  <r>
    <x v="1061"/>
    <x v="636"/>
    <x v="1053"/>
    <x v="5"/>
    <x v="0"/>
    <x v="1055"/>
    <s v="830 Main St"/>
    <x v="4"/>
    <x v="0"/>
    <x v="1061"/>
    <n v="8"/>
    <x v="1"/>
    <x v="4"/>
    <x v="1056"/>
    <n v="0"/>
  </r>
  <r>
    <x v="1062"/>
    <x v="421"/>
    <x v="1054"/>
    <x v="3"/>
    <x v="0"/>
    <x v="1056"/>
    <s v="301 Main St"/>
    <x v="3"/>
    <x v="1"/>
    <x v="1062"/>
    <n v="5"/>
    <x v="2"/>
    <x v="3"/>
    <x v="1057"/>
    <n v="0"/>
  </r>
  <r>
    <x v="1063"/>
    <x v="83"/>
    <x v="1055"/>
    <x v="6"/>
    <x v="1"/>
    <x v="1057"/>
    <s v="336 Main St"/>
    <x v="2"/>
    <x v="0"/>
    <x v="1063"/>
    <n v="5"/>
    <x v="1"/>
    <x v="1"/>
    <x v="1058"/>
    <n v="0"/>
  </r>
  <r>
    <x v="1064"/>
    <x v="637"/>
    <x v="1056"/>
    <x v="5"/>
    <x v="3"/>
    <x v="1058"/>
    <s v="654 Main St"/>
    <x v="4"/>
    <x v="2"/>
    <x v="1064"/>
    <n v="9"/>
    <x v="1"/>
    <x v="1"/>
    <x v="1059"/>
    <n v="0"/>
  </r>
  <r>
    <x v="1065"/>
    <x v="638"/>
    <x v="1057"/>
    <x v="4"/>
    <x v="0"/>
    <x v="1059"/>
    <s v="488 Main St"/>
    <x v="0"/>
    <x v="3"/>
    <x v="1065"/>
    <n v="7"/>
    <x v="0"/>
    <x v="1"/>
    <x v="1060"/>
    <n v="0"/>
  </r>
  <r>
    <x v="1066"/>
    <x v="639"/>
    <x v="1058"/>
    <x v="6"/>
    <x v="2"/>
    <x v="1060"/>
    <s v="674 Main St"/>
    <x v="0"/>
    <x v="1"/>
    <x v="1066"/>
    <n v="5"/>
    <x v="0"/>
    <x v="0"/>
    <x v="1061"/>
    <n v="0"/>
  </r>
  <r>
    <x v="1067"/>
    <x v="640"/>
    <x v="1059"/>
    <x v="1"/>
    <x v="1"/>
    <x v="1061"/>
    <s v="384 Main St"/>
    <x v="1"/>
    <x v="2"/>
    <x v="1067"/>
    <n v="2"/>
    <x v="2"/>
    <x v="0"/>
    <x v="1062"/>
    <n v="0"/>
  </r>
  <r>
    <x v="1068"/>
    <x v="240"/>
    <x v="1060"/>
    <x v="5"/>
    <x v="2"/>
    <x v="871"/>
    <s v="469 Main St"/>
    <x v="0"/>
    <x v="0"/>
    <x v="1068"/>
    <n v="2"/>
    <x v="0"/>
    <x v="1"/>
    <x v="1063"/>
    <n v="0"/>
  </r>
  <r>
    <x v="1069"/>
    <x v="641"/>
    <x v="1061"/>
    <x v="0"/>
    <x v="2"/>
    <x v="1062"/>
    <s v="255 Main St"/>
    <x v="3"/>
    <x v="2"/>
    <x v="1069"/>
    <n v="3"/>
    <x v="2"/>
    <x v="3"/>
    <x v="1064"/>
    <n v="0"/>
  </r>
  <r>
    <x v="1070"/>
    <x v="605"/>
    <x v="1062"/>
    <x v="6"/>
    <x v="3"/>
    <x v="1063"/>
    <s v="496 Main St"/>
    <x v="0"/>
    <x v="4"/>
    <x v="1070"/>
    <n v="6"/>
    <x v="2"/>
    <x v="2"/>
    <x v="1065"/>
    <n v="0"/>
  </r>
  <r>
    <x v="1071"/>
    <x v="53"/>
    <x v="1063"/>
    <x v="1"/>
    <x v="1"/>
    <x v="1064"/>
    <s v="216 Main St"/>
    <x v="4"/>
    <x v="0"/>
    <x v="1071"/>
    <n v="2"/>
    <x v="2"/>
    <x v="4"/>
    <x v="1066"/>
    <n v="0"/>
  </r>
  <r>
    <x v="1072"/>
    <x v="297"/>
    <x v="1064"/>
    <x v="0"/>
    <x v="2"/>
    <x v="1065"/>
    <s v="977 Main St"/>
    <x v="3"/>
    <x v="1"/>
    <x v="1072"/>
    <n v="4"/>
    <x v="0"/>
    <x v="1"/>
    <x v="1067"/>
    <n v="0"/>
  </r>
  <r>
    <x v="1073"/>
    <x v="642"/>
    <x v="1065"/>
    <x v="2"/>
    <x v="3"/>
    <x v="1066"/>
    <s v="294 Main St"/>
    <x v="0"/>
    <x v="2"/>
    <x v="1073"/>
    <n v="4"/>
    <x v="2"/>
    <x v="3"/>
    <x v="1068"/>
    <n v="0"/>
  </r>
  <r>
    <x v="1074"/>
    <x v="451"/>
    <x v="1066"/>
    <x v="1"/>
    <x v="2"/>
    <x v="1067"/>
    <s v="120 Main St"/>
    <x v="1"/>
    <x v="2"/>
    <x v="1074"/>
    <n v="4"/>
    <x v="2"/>
    <x v="4"/>
    <x v="1069"/>
    <n v="0"/>
  </r>
  <r>
    <x v="1075"/>
    <x v="169"/>
    <x v="1067"/>
    <x v="0"/>
    <x v="1"/>
    <x v="1068"/>
    <s v="609 Main St"/>
    <x v="0"/>
    <x v="3"/>
    <x v="1075"/>
    <n v="7"/>
    <x v="3"/>
    <x v="0"/>
    <x v="1070"/>
    <n v="0"/>
  </r>
  <r>
    <x v="1076"/>
    <x v="20"/>
    <x v="1068"/>
    <x v="5"/>
    <x v="3"/>
    <x v="1069"/>
    <s v="176 Main St"/>
    <x v="4"/>
    <x v="0"/>
    <x v="1076"/>
    <n v="6"/>
    <x v="2"/>
    <x v="1"/>
    <x v="1071"/>
    <n v="0"/>
  </r>
  <r>
    <x v="1077"/>
    <x v="456"/>
    <x v="1069"/>
    <x v="4"/>
    <x v="4"/>
    <x v="1070"/>
    <s v="115 Main St"/>
    <x v="2"/>
    <x v="1"/>
    <x v="1077"/>
    <n v="8"/>
    <x v="0"/>
    <x v="1"/>
    <x v="1072"/>
    <n v="0"/>
  </r>
  <r>
    <x v="1078"/>
    <x v="168"/>
    <x v="1070"/>
    <x v="6"/>
    <x v="2"/>
    <x v="1071"/>
    <s v="881 Main St"/>
    <x v="1"/>
    <x v="2"/>
    <x v="1078"/>
    <n v="4"/>
    <x v="3"/>
    <x v="2"/>
    <x v="1073"/>
    <n v="0"/>
  </r>
  <r>
    <x v="1079"/>
    <x v="643"/>
    <x v="1071"/>
    <x v="1"/>
    <x v="0"/>
    <x v="1072"/>
    <s v="144 Main St"/>
    <x v="3"/>
    <x v="3"/>
    <x v="1079"/>
    <n v="8"/>
    <x v="2"/>
    <x v="2"/>
    <x v="1074"/>
    <n v="0"/>
  </r>
  <r>
    <x v="1080"/>
    <x v="325"/>
    <x v="1072"/>
    <x v="5"/>
    <x v="0"/>
    <x v="1073"/>
    <s v="438 Main St"/>
    <x v="3"/>
    <x v="3"/>
    <x v="1080"/>
    <n v="7"/>
    <x v="2"/>
    <x v="1"/>
    <x v="1075"/>
    <n v="0"/>
  </r>
  <r>
    <x v="1081"/>
    <x v="453"/>
    <x v="1073"/>
    <x v="0"/>
    <x v="3"/>
    <x v="1074"/>
    <s v="494 Main St"/>
    <x v="2"/>
    <x v="4"/>
    <x v="1081"/>
    <n v="5"/>
    <x v="1"/>
    <x v="4"/>
    <x v="1076"/>
    <n v="0"/>
  </r>
  <r>
    <x v="1082"/>
    <x v="426"/>
    <x v="1074"/>
    <x v="3"/>
    <x v="4"/>
    <x v="1075"/>
    <s v="177 Main St"/>
    <x v="0"/>
    <x v="4"/>
    <x v="1082"/>
    <n v="5"/>
    <x v="0"/>
    <x v="2"/>
    <x v="1077"/>
    <n v="0"/>
  </r>
  <r>
    <x v="1083"/>
    <x v="644"/>
    <x v="1075"/>
    <x v="3"/>
    <x v="2"/>
    <x v="1076"/>
    <s v="895 Main St"/>
    <x v="2"/>
    <x v="3"/>
    <x v="1083"/>
    <n v="3"/>
    <x v="0"/>
    <x v="2"/>
    <x v="1078"/>
    <n v="0"/>
  </r>
  <r>
    <x v="1084"/>
    <x v="124"/>
    <x v="1076"/>
    <x v="1"/>
    <x v="2"/>
    <x v="1077"/>
    <s v="128 Main St"/>
    <x v="3"/>
    <x v="4"/>
    <x v="1084"/>
    <n v="1"/>
    <x v="3"/>
    <x v="0"/>
    <x v="1079"/>
    <n v="0"/>
  </r>
  <r>
    <x v="1085"/>
    <x v="54"/>
    <x v="1077"/>
    <x v="4"/>
    <x v="1"/>
    <x v="1078"/>
    <s v="404 Main St"/>
    <x v="0"/>
    <x v="0"/>
    <x v="1085"/>
    <n v="7"/>
    <x v="3"/>
    <x v="0"/>
    <x v="1080"/>
    <n v="0"/>
  </r>
  <r>
    <x v="1086"/>
    <x v="475"/>
    <x v="1078"/>
    <x v="2"/>
    <x v="1"/>
    <x v="1079"/>
    <s v="401 Main St"/>
    <x v="1"/>
    <x v="4"/>
    <x v="1086"/>
    <n v="5"/>
    <x v="3"/>
    <x v="0"/>
    <x v="1081"/>
    <n v="0"/>
  </r>
  <r>
    <x v="1087"/>
    <x v="411"/>
    <x v="1079"/>
    <x v="5"/>
    <x v="3"/>
    <x v="1080"/>
    <s v="530 Main St"/>
    <x v="1"/>
    <x v="0"/>
    <x v="1087"/>
    <n v="8"/>
    <x v="0"/>
    <x v="0"/>
    <x v="1082"/>
    <n v="0"/>
  </r>
  <r>
    <x v="1088"/>
    <x v="115"/>
    <x v="1080"/>
    <x v="6"/>
    <x v="4"/>
    <x v="1081"/>
    <s v="213 Main St"/>
    <x v="3"/>
    <x v="0"/>
    <x v="1088"/>
    <n v="6"/>
    <x v="3"/>
    <x v="0"/>
    <x v="1083"/>
    <n v="0"/>
  </r>
  <r>
    <x v="1089"/>
    <x v="175"/>
    <x v="1081"/>
    <x v="2"/>
    <x v="1"/>
    <x v="1082"/>
    <s v="440 Main St"/>
    <x v="3"/>
    <x v="0"/>
    <x v="1089"/>
    <n v="2"/>
    <x v="2"/>
    <x v="0"/>
    <x v="1084"/>
    <n v="0"/>
  </r>
  <r>
    <x v="1090"/>
    <x v="641"/>
    <x v="1082"/>
    <x v="0"/>
    <x v="1"/>
    <x v="1083"/>
    <s v="996 Main St"/>
    <x v="3"/>
    <x v="2"/>
    <x v="1090"/>
    <n v="6"/>
    <x v="2"/>
    <x v="0"/>
    <x v="1085"/>
    <n v="0"/>
  </r>
  <r>
    <x v="1091"/>
    <x v="192"/>
    <x v="1083"/>
    <x v="5"/>
    <x v="4"/>
    <x v="1084"/>
    <s v="123 Main St"/>
    <x v="0"/>
    <x v="4"/>
    <x v="1091"/>
    <n v="4"/>
    <x v="2"/>
    <x v="2"/>
    <x v="1086"/>
    <n v="0"/>
  </r>
  <r>
    <x v="1092"/>
    <x v="531"/>
    <x v="1084"/>
    <x v="5"/>
    <x v="0"/>
    <x v="1085"/>
    <s v="930 Main St"/>
    <x v="0"/>
    <x v="3"/>
    <x v="1092"/>
    <n v="6"/>
    <x v="3"/>
    <x v="2"/>
    <x v="1087"/>
    <n v="0"/>
  </r>
  <r>
    <x v="1093"/>
    <x v="308"/>
    <x v="1085"/>
    <x v="1"/>
    <x v="3"/>
    <x v="1086"/>
    <s v="557 Main St"/>
    <x v="3"/>
    <x v="2"/>
    <x v="1093"/>
    <n v="9"/>
    <x v="1"/>
    <x v="0"/>
    <x v="1088"/>
    <n v="0"/>
  </r>
  <r>
    <x v="1094"/>
    <x v="342"/>
    <x v="1086"/>
    <x v="4"/>
    <x v="3"/>
    <x v="1087"/>
    <s v="615 Main St"/>
    <x v="2"/>
    <x v="0"/>
    <x v="1094"/>
    <n v="6"/>
    <x v="0"/>
    <x v="0"/>
    <x v="1089"/>
    <n v="0"/>
  </r>
  <r>
    <x v="1095"/>
    <x v="234"/>
    <x v="1087"/>
    <x v="1"/>
    <x v="1"/>
    <x v="1088"/>
    <s v="397 Main St"/>
    <x v="1"/>
    <x v="3"/>
    <x v="1095"/>
    <n v="2"/>
    <x v="0"/>
    <x v="2"/>
    <x v="1090"/>
    <n v="0"/>
  </r>
  <r>
    <x v="1096"/>
    <x v="120"/>
    <x v="1088"/>
    <x v="2"/>
    <x v="1"/>
    <x v="1089"/>
    <s v="782 Main St"/>
    <x v="0"/>
    <x v="2"/>
    <x v="1096"/>
    <n v="2"/>
    <x v="2"/>
    <x v="3"/>
    <x v="1091"/>
    <n v="0"/>
  </r>
  <r>
    <x v="1097"/>
    <x v="645"/>
    <x v="1089"/>
    <x v="0"/>
    <x v="0"/>
    <x v="1090"/>
    <s v="344 Main St"/>
    <x v="3"/>
    <x v="0"/>
    <x v="1097"/>
    <n v="7"/>
    <x v="3"/>
    <x v="4"/>
    <x v="1092"/>
    <n v="0"/>
  </r>
  <r>
    <x v="1098"/>
    <x v="646"/>
    <x v="1090"/>
    <x v="0"/>
    <x v="3"/>
    <x v="1091"/>
    <s v="155 Main St"/>
    <x v="2"/>
    <x v="3"/>
    <x v="1098"/>
    <n v="7"/>
    <x v="2"/>
    <x v="2"/>
    <x v="1093"/>
    <n v="0"/>
  </r>
  <r>
    <x v="1099"/>
    <x v="556"/>
    <x v="1091"/>
    <x v="5"/>
    <x v="1"/>
    <x v="1092"/>
    <s v="272 Main St"/>
    <x v="4"/>
    <x v="1"/>
    <x v="1099"/>
    <n v="3"/>
    <x v="1"/>
    <x v="2"/>
    <x v="1094"/>
    <n v="0"/>
  </r>
  <r>
    <x v="1100"/>
    <x v="538"/>
    <x v="1092"/>
    <x v="5"/>
    <x v="0"/>
    <x v="1093"/>
    <s v="428 Main St"/>
    <x v="0"/>
    <x v="1"/>
    <x v="1100"/>
    <n v="6"/>
    <x v="3"/>
    <x v="0"/>
    <x v="1095"/>
    <n v="0"/>
  </r>
  <r>
    <x v="1101"/>
    <x v="647"/>
    <x v="1093"/>
    <x v="0"/>
    <x v="4"/>
    <x v="1094"/>
    <s v="904 Main St"/>
    <x v="4"/>
    <x v="4"/>
    <x v="1101"/>
    <n v="4"/>
    <x v="0"/>
    <x v="2"/>
    <x v="1096"/>
    <n v="0"/>
  </r>
  <r>
    <x v="1102"/>
    <x v="561"/>
    <x v="14"/>
    <x v="3"/>
    <x v="3"/>
    <x v="1095"/>
    <s v="997 Main St"/>
    <x v="0"/>
    <x v="0"/>
    <x v="1102"/>
    <n v="8"/>
    <x v="2"/>
    <x v="0"/>
    <x v="1097"/>
    <n v="0"/>
  </r>
  <r>
    <x v="1103"/>
    <x v="648"/>
    <x v="1094"/>
    <x v="5"/>
    <x v="3"/>
    <x v="1096"/>
    <s v="129 Main St"/>
    <x v="1"/>
    <x v="3"/>
    <x v="1103"/>
    <n v="5"/>
    <x v="2"/>
    <x v="4"/>
    <x v="1098"/>
    <n v="0"/>
  </r>
  <r>
    <x v="1104"/>
    <x v="568"/>
    <x v="1095"/>
    <x v="2"/>
    <x v="3"/>
    <x v="1097"/>
    <s v="850 Main St"/>
    <x v="1"/>
    <x v="0"/>
    <x v="1104"/>
    <n v="8"/>
    <x v="2"/>
    <x v="0"/>
    <x v="1099"/>
    <n v="0"/>
  </r>
  <r>
    <x v="1105"/>
    <x v="649"/>
    <x v="1096"/>
    <x v="2"/>
    <x v="4"/>
    <x v="1098"/>
    <s v="884 Main St"/>
    <x v="3"/>
    <x v="1"/>
    <x v="1105"/>
    <n v="3"/>
    <x v="1"/>
    <x v="4"/>
    <x v="1100"/>
    <n v="0"/>
  </r>
  <r>
    <x v="1106"/>
    <x v="255"/>
    <x v="1097"/>
    <x v="3"/>
    <x v="2"/>
    <x v="1099"/>
    <s v="903 Main St"/>
    <x v="4"/>
    <x v="1"/>
    <x v="1106"/>
    <n v="6"/>
    <x v="0"/>
    <x v="3"/>
    <x v="1101"/>
    <n v="0"/>
  </r>
  <r>
    <x v="1107"/>
    <x v="233"/>
    <x v="1098"/>
    <x v="2"/>
    <x v="1"/>
    <x v="1100"/>
    <s v="282 Main St"/>
    <x v="1"/>
    <x v="1"/>
    <x v="1107"/>
    <n v="4"/>
    <x v="0"/>
    <x v="4"/>
    <x v="1102"/>
    <n v="0"/>
  </r>
  <r>
    <x v="1108"/>
    <x v="650"/>
    <x v="1099"/>
    <x v="5"/>
    <x v="2"/>
    <x v="1101"/>
    <s v="462 Main St"/>
    <x v="1"/>
    <x v="1"/>
    <x v="1108"/>
    <n v="5"/>
    <x v="3"/>
    <x v="0"/>
    <x v="1103"/>
    <n v="0"/>
  </r>
  <r>
    <x v="1109"/>
    <x v="651"/>
    <x v="1100"/>
    <x v="4"/>
    <x v="3"/>
    <x v="1102"/>
    <s v="474 Main St"/>
    <x v="3"/>
    <x v="2"/>
    <x v="1109"/>
    <n v="7"/>
    <x v="0"/>
    <x v="0"/>
    <x v="1104"/>
    <n v="0"/>
  </r>
  <r>
    <x v="1110"/>
    <x v="402"/>
    <x v="1101"/>
    <x v="3"/>
    <x v="4"/>
    <x v="1103"/>
    <s v="912 Main St"/>
    <x v="2"/>
    <x v="0"/>
    <x v="1110"/>
    <n v="3"/>
    <x v="0"/>
    <x v="2"/>
    <x v="1105"/>
    <n v="0"/>
  </r>
  <r>
    <x v="1111"/>
    <x v="306"/>
    <x v="1102"/>
    <x v="0"/>
    <x v="3"/>
    <x v="1104"/>
    <s v="362 Main St"/>
    <x v="1"/>
    <x v="1"/>
    <x v="1111"/>
    <n v="9"/>
    <x v="1"/>
    <x v="0"/>
    <x v="1106"/>
    <n v="0"/>
  </r>
  <r>
    <x v="1112"/>
    <x v="652"/>
    <x v="1103"/>
    <x v="6"/>
    <x v="2"/>
    <x v="1105"/>
    <s v="563 Main St"/>
    <x v="1"/>
    <x v="3"/>
    <x v="1112"/>
    <n v="1"/>
    <x v="3"/>
    <x v="0"/>
    <x v="1107"/>
    <n v="0"/>
  </r>
  <r>
    <x v="1113"/>
    <x v="111"/>
    <x v="1104"/>
    <x v="6"/>
    <x v="3"/>
    <x v="1106"/>
    <s v="168 Main St"/>
    <x v="4"/>
    <x v="3"/>
    <x v="1113"/>
    <n v="8"/>
    <x v="2"/>
    <x v="4"/>
    <x v="1108"/>
    <n v="0"/>
  </r>
  <r>
    <x v="1114"/>
    <x v="653"/>
    <x v="1105"/>
    <x v="2"/>
    <x v="4"/>
    <x v="1107"/>
    <s v="609 Main St"/>
    <x v="3"/>
    <x v="1"/>
    <x v="1114"/>
    <n v="3"/>
    <x v="2"/>
    <x v="4"/>
    <x v="1109"/>
    <n v="0"/>
  </r>
  <r>
    <x v="1115"/>
    <x v="126"/>
    <x v="1106"/>
    <x v="5"/>
    <x v="1"/>
    <x v="1108"/>
    <s v="562 Main St"/>
    <x v="1"/>
    <x v="2"/>
    <x v="1115"/>
    <n v="3"/>
    <x v="2"/>
    <x v="4"/>
    <x v="1110"/>
    <n v="0"/>
  </r>
  <r>
    <x v="1116"/>
    <x v="612"/>
    <x v="1107"/>
    <x v="4"/>
    <x v="1"/>
    <x v="1109"/>
    <s v="562 Main St"/>
    <x v="2"/>
    <x v="3"/>
    <x v="1116"/>
    <n v="7"/>
    <x v="3"/>
    <x v="3"/>
    <x v="1111"/>
    <n v="0"/>
  </r>
  <r>
    <x v="1117"/>
    <x v="199"/>
    <x v="1108"/>
    <x v="3"/>
    <x v="4"/>
    <x v="1110"/>
    <s v="858 Main St"/>
    <x v="3"/>
    <x v="0"/>
    <x v="1117"/>
    <n v="8"/>
    <x v="3"/>
    <x v="4"/>
    <x v="1112"/>
    <n v="0"/>
  </r>
  <r>
    <x v="1118"/>
    <x v="75"/>
    <x v="1109"/>
    <x v="1"/>
    <x v="4"/>
    <x v="1111"/>
    <s v="359 Main St"/>
    <x v="2"/>
    <x v="2"/>
    <x v="1118"/>
    <n v="4"/>
    <x v="2"/>
    <x v="2"/>
    <x v="1113"/>
    <n v="0"/>
  </r>
  <r>
    <x v="1119"/>
    <x v="167"/>
    <x v="1110"/>
    <x v="5"/>
    <x v="2"/>
    <x v="1112"/>
    <s v="250 Main St"/>
    <x v="2"/>
    <x v="3"/>
    <x v="1119"/>
    <n v="1"/>
    <x v="1"/>
    <x v="2"/>
    <x v="1114"/>
    <n v="0"/>
  </r>
  <r>
    <x v="1120"/>
    <x v="400"/>
    <x v="1111"/>
    <x v="2"/>
    <x v="2"/>
    <x v="1113"/>
    <s v="267 Main St"/>
    <x v="1"/>
    <x v="4"/>
    <x v="1120"/>
    <n v="3"/>
    <x v="2"/>
    <x v="3"/>
    <x v="1115"/>
    <n v="0"/>
  </r>
  <r>
    <x v="1121"/>
    <x v="654"/>
    <x v="1112"/>
    <x v="1"/>
    <x v="4"/>
    <x v="1114"/>
    <s v="393 Main St"/>
    <x v="3"/>
    <x v="2"/>
    <x v="1121"/>
    <n v="3"/>
    <x v="1"/>
    <x v="0"/>
    <x v="1116"/>
    <n v="0"/>
  </r>
  <r>
    <x v="1122"/>
    <x v="323"/>
    <x v="266"/>
    <x v="0"/>
    <x v="0"/>
    <x v="1115"/>
    <s v="766 Main St"/>
    <x v="1"/>
    <x v="2"/>
    <x v="1122"/>
    <n v="8"/>
    <x v="2"/>
    <x v="3"/>
    <x v="1117"/>
    <n v="0"/>
  </r>
  <r>
    <x v="1123"/>
    <x v="655"/>
    <x v="1113"/>
    <x v="2"/>
    <x v="4"/>
    <x v="1116"/>
    <s v="843 Main St"/>
    <x v="0"/>
    <x v="0"/>
    <x v="1123"/>
    <n v="6"/>
    <x v="3"/>
    <x v="1"/>
    <x v="1118"/>
    <n v="0"/>
  </r>
  <r>
    <x v="1124"/>
    <x v="221"/>
    <x v="1114"/>
    <x v="3"/>
    <x v="3"/>
    <x v="1117"/>
    <s v="888 Main St"/>
    <x v="3"/>
    <x v="2"/>
    <x v="1124"/>
    <n v="5"/>
    <x v="2"/>
    <x v="0"/>
    <x v="1119"/>
    <n v="0"/>
  </r>
  <r>
    <x v="1125"/>
    <x v="504"/>
    <x v="1115"/>
    <x v="6"/>
    <x v="3"/>
    <x v="1118"/>
    <s v="156 Main St"/>
    <x v="3"/>
    <x v="1"/>
    <x v="1125"/>
    <n v="4"/>
    <x v="1"/>
    <x v="1"/>
    <x v="1120"/>
    <n v="0"/>
  </r>
  <r>
    <x v="1126"/>
    <x v="319"/>
    <x v="1116"/>
    <x v="1"/>
    <x v="0"/>
    <x v="1119"/>
    <s v="325 Main St"/>
    <x v="4"/>
    <x v="3"/>
    <x v="1126"/>
    <n v="7"/>
    <x v="0"/>
    <x v="4"/>
    <x v="1121"/>
    <n v="0"/>
  </r>
  <r>
    <x v="1127"/>
    <x v="175"/>
    <x v="1117"/>
    <x v="4"/>
    <x v="4"/>
    <x v="1120"/>
    <s v="920 Main St"/>
    <x v="2"/>
    <x v="0"/>
    <x v="1127"/>
    <n v="6"/>
    <x v="0"/>
    <x v="2"/>
    <x v="1122"/>
    <n v="0"/>
  </r>
  <r>
    <x v="1128"/>
    <x v="538"/>
    <x v="1118"/>
    <x v="0"/>
    <x v="4"/>
    <x v="1121"/>
    <s v="447 Main St"/>
    <x v="4"/>
    <x v="1"/>
    <x v="1128"/>
    <n v="5"/>
    <x v="3"/>
    <x v="4"/>
    <x v="1123"/>
    <n v="0"/>
  </r>
  <r>
    <x v="1129"/>
    <x v="236"/>
    <x v="1119"/>
    <x v="3"/>
    <x v="3"/>
    <x v="1122"/>
    <s v="239 Main St"/>
    <x v="4"/>
    <x v="4"/>
    <x v="1129"/>
    <n v="8"/>
    <x v="1"/>
    <x v="0"/>
    <x v="1124"/>
    <n v="0"/>
  </r>
  <r>
    <x v="1130"/>
    <x v="656"/>
    <x v="1120"/>
    <x v="5"/>
    <x v="1"/>
    <x v="1123"/>
    <s v="533 Main St"/>
    <x v="2"/>
    <x v="2"/>
    <x v="1130"/>
    <n v="5"/>
    <x v="1"/>
    <x v="0"/>
    <x v="1125"/>
    <n v="0"/>
  </r>
  <r>
    <x v="1131"/>
    <x v="408"/>
    <x v="1121"/>
    <x v="1"/>
    <x v="2"/>
    <x v="1124"/>
    <s v="195 Main St"/>
    <x v="2"/>
    <x v="4"/>
    <x v="1131"/>
    <n v="3"/>
    <x v="3"/>
    <x v="3"/>
    <x v="1126"/>
    <n v="0"/>
  </r>
  <r>
    <x v="1132"/>
    <x v="657"/>
    <x v="1122"/>
    <x v="3"/>
    <x v="1"/>
    <x v="1125"/>
    <s v="948 Main St"/>
    <x v="2"/>
    <x v="1"/>
    <x v="1132"/>
    <n v="4"/>
    <x v="0"/>
    <x v="2"/>
    <x v="1127"/>
    <n v="0"/>
  </r>
  <r>
    <x v="1133"/>
    <x v="398"/>
    <x v="1123"/>
    <x v="4"/>
    <x v="1"/>
    <x v="1126"/>
    <s v="432 Main St"/>
    <x v="3"/>
    <x v="2"/>
    <x v="1133"/>
    <n v="5"/>
    <x v="3"/>
    <x v="3"/>
    <x v="1128"/>
    <n v="0"/>
  </r>
  <r>
    <x v="1134"/>
    <x v="180"/>
    <x v="1124"/>
    <x v="6"/>
    <x v="3"/>
    <x v="1127"/>
    <s v="950 Main St"/>
    <x v="0"/>
    <x v="1"/>
    <x v="1134"/>
    <n v="4"/>
    <x v="3"/>
    <x v="3"/>
    <x v="1129"/>
    <n v="0"/>
  </r>
  <r>
    <x v="1135"/>
    <x v="153"/>
    <x v="1125"/>
    <x v="4"/>
    <x v="1"/>
    <x v="1128"/>
    <s v="562 Main St"/>
    <x v="1"/>
    <x v="0"/>
    <x v="1135"/>
    <n v="2"/>
    <x v="0"/>
    <x v="4"/>
    <x v="1130"/>
    <n v="0"/>
  </r>
  <r>
    <x v="1136"/>
    <x v="463"/>
    <x v="1126"/>
    <x v="2"/>
    <x v="4"/>
    <x v="1129"/>
    <s v="799 Main St"/>
    <x v="3"/>
    <x v="4"/>
    <x v="1136"/>
    <n v="4"/>
    <x v="3"/>
    <x v="3"/>
    <x v="1131"/>
    <n v="0"/>
  </r>
  <r>
    <x v="1137"/>
    <x v="511"/>
    <x v="1127"/>
    <x v="4"/>
    <x v="3"/>
    <x v="1130"/>
    <s v="841 Main St"/>
    <x v="4"/>
    <x v="4"/>
    <x v="1137"/>
    <n v="5"/>
    <x v="3"/>
    <x v="0"/>
    <x v="1132"/>
    <n v="0"/>
  </r>
  <r>
    <x v="1138"/>
    <x v="552"/>
    <x v="1128"/>
    <x v="6"/>
    <x v="3"/>
    <x v="1131"/>
    <s v="188 Main St"/>
    <x v="0"/>
    <x v="4"/>
    <x v="1138"/>
    <n v="4"/>
    <x v="2"/>
    <x v="0"/>
    <x v="1133"/>
    <n v="0"/>
  </r>
  <r>
    <x v="1139"/>
    <x v="627"/>
    <x v="1042"/>
    <x v="3"/>
    <x v="4"/>
    <x v="1132"/>
    <s v="568 Main St"/>
    <x v="3"/>
    <x v="1"/>
    <x v="1139"/>
    <n v="4"/>
    <x v="1"/>
    <x v="2"/>
    <x v="1134"/>
    <n v="0"/>
  </r>
  <r>
    <x v="1140"/>
    <x v="658"/>
    <x v="1129"/>
    <x v="4"/>
    <x v="1"/>
    <x v="1133"/>
    <s v="904 Main St"/>
    <x v="2"/>
    <x v="1"/>
    <x v="1140"/>
    <n v="3"/>
    <x v="2"/>
    <x v="1"/>
    <x v="1135"/>
    <n v="0"/>
  </r>
  <r>
    <x v="1141"/>
    <x v="656"/>
    <x v="1130"/>
    <x v="3"/>
    <x v="4"/>
    <x v="1134"/>
    <s v="382 Main St"/>
    <x v="4"/>
    <x v="1"/>
    <x v="1141"/>
    <n v="6"/>
    <x v="2"/>
    <x v="2"/>
    <x v="1136"/>
    <n v="0"/>
  </r>
  <r>
    <x v="1142"/>
    <x v="1"/>
    <x v="1131"/>
    <x v="1"/>
    <x v="3"/>
    <x v="1135"/>
    <s v="484 Main St"/>
    <x v="0"/>
    <x v="2"/>
    <x v="1142"/>
    <n v="8"/>
    <x v="2"/>
    <x v="2"/>
    <x v="1137"/>
    <n v="0"/>
  </r>
  <r>
    <x v="1143"/>
    <x v="659"/>
    <x v="1132"/>
    <x v="3"/>
    <x v="2"/>
    <x v="1136"/>
    <s v="114 Main St"/>
    <x v="0"/>
    <x v="4"/>
    <x v="1143"/>
    <n v="5"/>
    <x v="2"/>
    <x v="2"/>
    <x v="1138"/>
    <n v="0"/>
  </r>
  <r>
    <x v="1144"/>
    <x v="223"/>
    <x v="1133"/>
    <x v="6"/>
    <x v="0"/>
    <x v="1137"/>
    <s v="292 Main St"/>
    <x v="1"/>
    <x v="1"/>
    <x v="1144"/>
    <n v="9"/>
    <x v="2"/>
    <x v="3"/>
    <x v="1139"/>
    <n v="0"/>
  </r>
  <r>
    <x v="1145"/>
    <x v="275"/>
    <x v="1134"/>
    <x v="6"/>
    <x v="4"/>
    <x v="1138"/>
    <s v="821 Main St"/>
    <x v="0"/>
    <x v="3"/>
    <x v="1145"/>
    <n v="6"/>
    <x v="1"/>
    <x v="3"/>
    <x v="1140"/>
    <n v="0"/>
  </r>
  <r>
    <x v="1146"/>
    <x v="525"/>
    <x v="1135"/>
    <x v="0"/>
    <x v="0"/>
    <x v="1139"/>
    <s v="286 Main St"/>
    <x v="4"/>
    <x v="4"/>
    <x v="1146"/>
    <n v="5"/>
    <x v="0"/>
    <x v="0"/>
    <x v="1141"/>
    <n v="0"/>
  </r>
  <r>
    <x v="1147"/>
    <x v="143"/>
    <x v="1136"/>
    <x v="3"/>
    <x v="1"/>
    <x v="1140"/>
    <s v="234 Main St"/>
    <x v="1"/>
    <x v="4"/>
    <x v="1147"/>
    <n v="2"/>
    <x v="1"/>
    <x v="2"/>
    <x v="1142"/>
    <n v="0"/>
  </r>
  <r>
    <x v="1148"/>
    <x v="611"/>
    <x v="1137"/>
    <x v="1"/>
    <x v="2"/>
    <x v="1141"/>
    <s v="442 Main St"/>
    <x v="4"/>
    <x v="2"/>
    <x v="1148"/>
    <n v="2"/>
    <x v="0"/>
    <x v="2"/>
    <x v="1143"/>
    <n v="0"/>
  </r>
  <r>
    <x v="1149"/>
    <x v="568"/>
    <x v="1138"/>
    <x v="3"/>
    <x v="1"/>
    <x v="1142"/>
    <s v="957 Main St"/>
    <x v="2"/>
    <x v="4"/>
    <x v="1149"/>
    <n v="6"/>
    <x v="1"/>
    <x v="0"/>
    <x v="1144"/>
    <n v="0"/>
  </r>
  <r>
    <x v="1150"/>
    <x v="215"/>
    <x v="1139"/>
    <x v="6"/>
    <x v="3"/>
    <x v="1143"/>
    <s v="119 Main St"/>
    <x v="2"/>
    <x v="1"/>
    <x v="1150"/>
    <n v="8"/>
    <x v="0"/>
    <x v="1"/>
    <x v="1145"/>
    <n v="0"/>
  </r>
  <r>
    <x v="1151"/>
    <x v="22"/>
    <x v="1140"/>
    <x v="3"/>
    <x v="1"/>
    <x v="1144"/>
    <s v="962 Main St"/>
    <x v="4"/>
    <x v="1"/>
    <x v="1151"/>
    <n v="4"/>
    <x v="2"/>
    <x v="4"/>
    <x v="1146"/>
    <n v="0"/>
  </r>
  <r>
    <x v="1152"/>
    <x v="576"/>
    <x v="1141"/>
    <x v="2"/>
    <x v="1"/>
    <x v="1145"/>
    <s v="533 Main St"/>
    <x v="2"/>
    <x v="0"/>
    <x v="1152"/>
    <n v="7"/>
    <x v="2"/>
    <x v="1"/>
    <x v="1147"/>
    <n v="0"/>
  </r>
  <r>
    <x v="1153"/>
    <x v="393"/>
    <x v="1142"/>
    <x v="0"/>
    <x v="3"/>
    <x v="1146"/>
    <s v="276 Main St"/>
    <x v="0"/>
    <x v="0"/>
    <x v="1153"/>
    <n v="4"/>
    <x v="2"/>
    <x v="0"/>
    <x v="1148"/>
    <n v="0"/>
  </r>
  <r>
    <x v="1154"/>
    <x v="113"/>
    <x v="1143"/>
    <x v="0"/>
    <x v="4"/>
    <x v="1147"/>
    <s v="593 Main St"/>
    <x v="4"/>
    <x v="4"/>
    <x v="1154"/>
    <n v="8"/>
    <x v="0"/>
    <x v="0"/>
    <x v="1149"/>
    <n v="0"/>
  </r>
  <r>
    <x v="1155"/>
    <x v="340"/>
    <x v="1144"/>
    <x v="4"/>
    <x v="3"/>
    <x v="1148"/>
    <s v="667 Main St"/>
    <x v="2"/>
    <x v="3"/>
    <x v="1155"/>
    <n v="6"/>
    <x v="1"/>
    <x v="3"/>
    <x v="1150"/>
    <n v="0"/>
  </r>
  <r>
    <x v="1156"/>
    <x v="45"/>
    <x v="1145"/>
    <x v="5"/>
    <x v="3"/>
    <x v="1149"/>
    <s v="980 Main St"/>
    <x v="2"/>
    <x v="0"/>
    <x v="1156"/>
    <n v="9"/>
    <x v="2"/>
    <x v="1"/>
    <x v="1151"/>
    <n v="0"/>
  </r>
  <r>
    <x v="1157"/>
    <x v="382"/>
    <x v="1146"/>
    <x v="0"/>
    <x v="4"/>
    <x v="1150"/>
    <s v="242 Main St"/>
    <x v="0"/>
    <x v="3"/>
    <x v="1157"/>
    <n v="5"/>
    <x v="1"/>
    <x v="4"/>
    <x v="1152"/>
    <n v="0"/>
  </r>
  <r>
    <x v="1158"/>
    <x v="197"/>
    <x v="1147"/>
    <x v="0"/>
    <x v="3"/>
    <x v="1151"/>
    <s v="661 Main St"/>
    <x v="0"/>
    <x v="4"/>
    <x v="1158"/>
    <n v="4"/>
    <x v="0"/>
    <x v="1"/>
    <x v="1153"/>
    <n v="0"/>
  </r>
  <r>
    <x v="1159"/>
    <x v="203"/>
    <x v="1148"/>
    <x v="6"/>
    <x v="3"/>
    <x v="1152"/>
    <s v="874 Main St"/>
    <x v="0"/>
    <x v="2"/>
    <x v="1159"/>
    <n v="8"/>
    <x v="2"/>
    <x v="0"/>
    <x v="1154"/>
    <n v="0"/>
  </r>
  <r>
    <x v="1160"/>
    <x v="333"/>
    <x v="1149"/>
    <x v="6"/>
    <x v="2"/>
    <x v="1153"/>
    <s v="449 Main St"/>
    <x v="0"/>
    <x v="0"/>
    <x v="1160"/>
    <n v="5"/>
    <x v="0"/>
    <x v="2"/>
    <x v="1155"/>
    <n v="0"/>
  </r>
  <r>
    <x v="1161"/>
    <x v="504"/>
    <x v="1150"/>
    <x v="1"/>
    <x v="2"/>
    <x v="1154"/>
    <s v="826 Main St"/>
    <x v="4"/>
    <x v="1"/>
    <x v="1161"/>
    <n v="6"/>
    <x v="3"/>
    <x v="2"/>
    <x v="1156"/>
    <n v="0"/>
  </r>
  <r>
    <x v="1162"/>
    <x v="660"/>
    <x v="1151"/>
    <x v="1"/>
    <x v="1"/>
    <x v="1155"/>
    <s v="251 Main St"/>
    <x v="0"/>
    <x v="3"/>
    <x v="1162"/>
    <n v="3"/>
    <x v="3"/>
    <x v="1"/>
    <x v="1157"/>
    <n v="0"/>
  </r>
  <r>
    <x v="1163"/>
    <x v="184"/>
    <x v="1152"/>
    <x v="5"/>
    <x v="4"/>
    <x v="1156"/>
    <s v="966 Main St"/>
    <x v="2"/>
    <x v="2"/>
    <x v="1163"/>
    <n v="7"/>
    <x v="3"/>
    <x v="0"/>
    <x v="1158"/>
    <n v="0"/>
  </r>
  <r>
    <x v="1164"/>
    <x v="649"/>
    <x v="1153"/>
    <x v="2"/>
    <x v="0"/>
    <x v="1157"/>
    <s v="340 Main St"/>
    <x v="0"/>
    <x v="3"/>
    <x v="1164"/>
    <n v="6"/>
    <x v="3"/>
    <x v="2"/>
    <x v="1159"/>
    <n v="0"/>
  </r>
  <r>
    <x v="1165"/>
    <x v="328"/>
    <x v="1154"/>
    <x v="3"/>
    <x v="4"/>
    <x v="1158"/>
    <s v="617 Main St"/>
    <x v="0"/>
    <x v="4"/>
    <x v="1165"/>
    <n v="3"/>
    <x v="2"/>
    <x v="4"/>
    <x v="1160"/>
    <n v="0"/>
  </r>
  <r>
    <x v="1166"/>
    <x v="48"/>
    <x v="1155"/>
    <x v="3"/>
    <x v="4"/>
    <x v="1159"/>
    <s v="971 Main St"/>
    <x v="4"/>
    <x v="3"/>
    <x v="1166"/>
    <n v="4"/>
    <x v="3"/>
    <x v="2"/>
    <x v="1161"/>
    <n v="0"/>
  </r>
  <r>
    <x v="1167"/>
    <x v="661"/>
    <x v="1156"/>
    <x v="4"/>
    <x v="1"/>
    <x v="1160"/>
    <s v="360 Main St"/>
    <x v="2"/>
    <x v="4"/>
    <x v="1167"/>
    <n v="5"/>
    <x v="1"/>
    <x v="3"/>
    <x v="1162"/>
    <n v="0"/>
  </r>
  <r>
    <x v="1168"/>
    <x v="505"/>
    <x v="1157"/>
    <x v="5"/>
    <x v="1"/>
    <x v="1161"/>
    <s v="297 Main St"/>
    <x v="2"/>
    <x v="3"/>
    <x v="1168"/>
    <n v="6"/>
    <x v="3"/>
    <x v="4"/>
    <x v="1163"/>
    <n v="0"/>
  </r>
  <r>
    <x v="1169"/>
    <x v="662"/>
    <x v="1158"/>
    <x v="3"/>
    <x v="2"/>
    <x v="1162"/>
    <s v="643 Main St"/>
    <x v="4"/>
    <x v="1"/>
    <x v="1169"/>
    <n v="2"/>
    <x v="0"/>
    <x v="0"/>
    <x v="1164"/>
    <n v="0"/>
  </r>
  <r>
    <x v="1170"/>
    <x v="567"/>
    <x v="1159"/>
    <x v="4"/>
    <x v="1"/>
    <x v="1163"/>
    <s v="762 Main St"/>
    <x v="4"/>
    <x v="2"/>
    <x v="1170"/>
    <n v="7"/>
    <x v="1"/>
    <x v="2"/>
    <x v="1165"/>
    <n v="0"/>
  </r>
  <r>
    <x v="1171"/>
    <x v="81"/>
    <x v="1160"/>
    <x v="1"/>
    <x v="3"/>
    <x v="1164"/>
    <s v="699 Main St"/>
    <x v="2"/>
    <x v="3"/>
    <x v="1171"/>
    <n v="7"/>
    <x v="0"/>
    <x v="3"/>
    <x v="1166"/>
    <n v="0"/>
  </r>
  <r>
    <x v="1172"/>
    <x v="496"/>
    <x v="1161"/>
    <x v="6"/>
    <x v="4"/>
    <x v="1165"/>
    <s v="745 Main St"/>
    <x v="2"/>
    <x v="4"/>
    <x v="1172"/>
    <n v="8"/>
    <x v="2"/>
    <x v="0"/>
    <x v="1167"/>
    <n v="0"/>
  </r>
  <r>
    <x v="1173"/>
    <x v="449"/>
    <x v="1162"/>
    <x v="0"/>
    <x v="2"/>
    <x v="1166"/>
    <s v="703 Main St"/>
    <x v="1"/>
    <x v="0"/>
    <x v="1173"/>
    <n v="4"/>
    <x v="1"/>
    <x v="2"/>
    <x v="1168"/>
    <n v="0"/>
  </r>
  <r>
    <x v="1174"/>
    <x v="110"/>
    <x v="1163"/>
    <x v="4"/>
    <x v="4"/>
    <x v="1167"/>
    <s v="105 Main St"/>
    <x v="2"/>
    <x v="2"/>
    <x v="1174"/>
    <n v="5"/>
    <x v="3"/>
    <x v="2"/>
    <x v="1169"/>
    <n v="0"/>
  </r>
  <r>
    <x v="1175"/>
    <x v="663"/>
    <x v="1164"/>
    <x v="4"/>
    <x v="4"/>
    <x v="1168"/>
    <s v="368 Main St"/>
    <x v="0"/>
    <x v="2"/>
    <x v="1175"/>
    <n v="8"/>
    <x v="1"/>
    <x v="1"/>
    <x v="1170"/>
    <n v="0"/>
  </r>
  <r>
    <x v="1176"/>
    <x v="340"/>
    <x v="1165"/>
    <x v="2"/>
    <x v="1"/>
    <x v="1169"/>
    <s v="374 Main St"/>
    <x v="0"/>
    <x v="1"/>
    <x v="1176"/>
    <n v="2"/>
    <x v="3"/>
    <x v="2"/>
    <x v="1171"/>
    <n v="0"/>
  </r>
  <r>
    <x v="1177"/>
    <x v="664"/>
    <x v="1166"/>
    <x v="4"/>
    <x v="2"/>
    <x v="1170"/>
    <s v="433 Main St"/>
    <x v="4"/>
    <x v="0"/>
    <x v="1177"/>
    <n v="3"/>
    <x v="0"/>
    <x v="1"/>
    <x v="1172"/>
    <n v="0"/>
  </r>
  <r>
    <x v="1178"/>
    <x v="50"/>
    <x v="1167"/>
    <x v="0"/>
    <x v="2"/>
    <x v="1171"/>
    <s v="456 Main St"/>
    <x v="2"/>
    <x v="1"/>
    <x v="1178"/>
    <n v="4"/>
    <x v="1"/>
    <x v="4"/>
    <x v="1173"/>
    <n v="0"/>
  </r>
  <r>
    <x v="1179"/>
    <x v="124"/>
    <x v="1168"/>
    <x v="5"/>
    <x v="0"/>
    <x v="1172"/>
    <s v="907 Main St"/>
    <x v="2"/>
    <x v="1"/>
    <x v="1179"/>
    <n v="6"/>
    <x v="3"/>
    <x v="0"/>
    <x v="1174"/>
    <n v="0"/>
  </r>
  <r>
    <x v="1180"/>
    <x v="150"/>
    <x v="1169"/>
    <x v="3"/>
    <x v="3"/>
    <x v="1173"/>
    <s v="722 Main St"/>
    <x v="0"/>
    <x v="4"/>
    <x v="1180"/>
    <n v="8"/>
    <x v="1"/>
    <x v="4"/>
    <x v="1175"/>
    <n v="0"/>
  </r>
  <r>
    <x v="1181"/>
    <x v="152"/>
    <x v="1170"/>
    <x v="6"/>
    <x v="4"/>
    <x v="1174"/>
    <s v="293 Main St"/>
    <x v="1"/>
    <x v="4"/>
    <x v="1181"/>
    <n v="7"/>
    <x v="1"/>
    <x v="0"/>
    <x v="1176"/>
    <n v="0"/>
  </r>
  <r>
    <x v="1182"/>
    <x v="554"/>
    <x v="1171"/>
    <x v="3"/>
    <x v="1"/>
    <x v="1175"/>
    <s v="700 Main St"/>
    <x v="3"/>
    <x v="2"/>
    <x v="1182"/>
    <n v="3"/>
    <x v="0"/>
    <x v="4"/>
    <x v="1177"/>
    <n v="0"/>
  </r>
  <r>
    <x v="1183"/>
    <x v="228"/>
    <x v="1172"/>
    <x v="6"/>
    <x v="2"/>
    <x v="1176"/>
    <s v="460 Main St"/>
    <x v="3"/>
    <x v="0"/>
    <x v="1183"/>
    <n v="6"/>
    <x v="3"/>
    <x v="1"/>
    <x v="1178"/>
    <n v="0"/>
  </r>
  <r>
    <x v="1184"/>
    <x v="610"/>
    <x v="1173"/>
    <x v="5"/>
    <x v="2"/>
    <x v="1177"/>
    <s v="979 Main St"/>
    <x v="3"/>
    <x v="2"/>
    <x v="1184"/>
    <n v="4"/>
    <x v="2"/>
    <x v="4"/>
    <x v="1179"/>
    <n v="0"/>
  </r>
  <r>
    <x v="1185"/>
    <x v="665"/>
    <x v="1174"/>
    <x v="3"/>
    <x v="2"/>
    <x v="1178"/>
    <s v="777 Main St"/>
    <x v="3"/>
    <x v="2"/>
    <x v="1185"/>
    <n v="6"/>
    <x v="0"/>
    <x v="4"/>
    <x v="1180"/>
    <n v="0"/>
  </r>
  <r>
    <x v="1186"/>
    <x v="134"/>
    <x v="1175"/>
    <x v="0"/>
    <x v="2"/>
    <x v="1179"/>
    <s v="676 Main St"/>
    <x v="4"/>
    <x v="0"/>
    <x v="1186"/>
    <n v="6"/>
    <x v="3"/>
    <x v="3"/>
    <x v="1181"/>
    <n v="0"/>
  </r>
  <r>
    <x v="1187"/>
    <x v="206"/>
    <x v="1176"/>
    <x v="6"/>
    <x v="1"/>
    <x v="1180"/>
    <s v="562 Main St"/>
    <x v="3"/>
    <x v="3"/>
    <x v="1187"/>
    <n v="7"/>
    <x v="3"/>
    <x v="2"/>
    <x v="1182"/>
    <n v="0"/>
  </r>
  <r>
    <x v="1188"/>
    <x v="47"/>
    <x v="1177"/>
    <x v="4"/>
    <x v="1"/>
    <x v="1181"/>
    <s v="924 Main St"/>
    <x v="3"/>
    <x v="0"/>
    <x v="1188"/>
    <n v="5"/>
    <x v="3"/>
    <x v="3"/>
    <x v="1183"/>
    <n v="0"/>
  </r>
  <r>
    <x v="1189"/>
    <x v="666"/>
    <x v="1178"/>
    <x v="2"/>
    <x v="0"/>
    <x v="1182"/>
    <s v="149 Main St"/>
    <x v="4"/>
    <x v="1"/>
    <x v="1189"/>
    <n v="7"/>
    <x v="2"/>
    <x v="1"/>
    <x v="1184"/>
    <n v="0"/>
  </r>
  <r>
    <x v="1190"/>
    <x v="647"/>
    <x v="1179"/>
    <x v="6"/>
    <x v="4"/>
    <x v="1183"/>
    <s v="754 Main St"/>
    <x v="2"/>
    <x v="0"/>
    <x v="1190"/>
    <n v="6"/>
    <x v="1"/>
    <x v="0"/>
    <x v="1185"/>
    <n v="0"/>
  </r>
  <r>
    <x v="1191"/>
    <x v="441"/>
    <x v="1180"/>
    <x v="6"/>
    <x v="3"/>
    <x v="1184"/>
    <s v="809 Main St"/>
    <x v="3"/>
    <x v="4"/>
    <x v="1191"/>
    <n v="5"/>
    <x v="3"/>
    <x v="0"/>
    <x v="1186"/>
    <n v="0"/>
  </r>
  <r>
    <x v="1192"/>
    <x v="329"/>
    <x v="1181"/>
    <x v="3"/>
    <x v="4"/>
    <x v="1185"/>
    <s v="999 Main St"/>
    <x v="1"/>
    <x v="4"/>
    <x v="1192"/>
    <n v="4"/>
    <x v="2"/>
    <x v="0"/>
    <x v="1187"/>
    <n v="0"/>
  </r>
  <r>
    <x v="1193"/>
    <x v="667"/>
    <x v="1182"/>
    <x v="2"/>
    <x v="2"/>
    <x v="1186"/>
    <s v="348 Main St"/>
    <x v="4"/>
    <x v="2"/>
    <x v="1193"/>
    <n v="1"/>
    <x v="1"/>
    <x v="2"/>
    <x v="1188"/>
    <n v="0"/>
  </r>
  <r>
    <x v="1194"/>
    <x v="614"/>
    <x v="1183"/>
    <x v="4"/>
    <x v="4"/>
    <x v="1187"/>
    <s v="725 Main St"/>
    <x v="4"/>
    <x v="4"/>
    <x v="1194"/>
    <n v="4"/>
    <x v="1"/>
    <x v="2"/>
    <x v="1189"/>
    <n v="0"/>
  </r>
  <r>
    <x v="1195"/>
    <x v="643"/>
    <x v="1184"/>
    <x v="6"/>
    <x v="2"/>
    <x v="1188"/>
    <s v="392 Main St"/>
    <x v="2"/>
    <x v="1"/>
    <x v="1195"/>
    <n v="6"/>
    <x v="1"/>
    <x v="4"/>
    <x v="1190"/>
    <n v="0"/>
  </r>
  <r>
    <x v="1196"/>
    <x v="668"/>
    <x v="1185"/>
    <x v="0"/>
    <x v="1"/>
    <x v="1189"/>
    <s v="778 Main St"/>
    <x v="1"/>
    <x v="1"/>
    <x v="1196"/>
    <n v="5"/>
    <x v="2"/>
    <x v="3"/>
    <x v="1191"/>
    <n v="0"/>
  </r>
  <r>
    <x v="1197"/>
    <x v="669"/>
    <x v="1186"/>
    <x v="2"/>
    <x v="1"/>
    <x v="1190"/>
    <s v="275 Main St"/>
    <x v="1"/>
    <x v="3"/>
    <x v="1197"/>
    <n v="2"/>
    <x v="1"/>
    <x v="0"/>
    <x v="1192"/>
    <n v="0"/>
  </r>
  <r>
    <x v="1198"/>
    <x v="670"/>
    <x v="1187"/>
    <x v="3"/>
    <x v="3"/>
    <x v="1191"/>
    <s v="509 Main St"/>
    <x v="0"/>
    <x v="1"/>
    <x v="1198"/>
    <n v="4"/>
    <x v="3"/>
    <x v="0"/>
    <x v="1193"/>
    <n v="0"/>
  </r>
  <r>
    <x v="1199"/>
    <x v="236"/>
    <x v="1188"/>
    <x v="2"/>
    <x v="3"/>
    <x v="1192"/>
    <s v="201 Main St"/>
    <x v="3"/>
    <x v="2"/>
    <x v="1199"/>
    <n v="6"/>
    <x v="0"/>
    <x v="1"/>
    <x v="119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B2E2F-A2DE-4A45-98D0-604DEF850B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5" firstHeaderRow="1" firstDataRow="1" firstDataCol="1"/>
  <pivotFields count="18">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h="1" x="3"/>
        <item h="1" x="6"/>
        <item h="1" x="5"/>
        <item x="0"/>
        <item h="1" x="1"/>
        <item h="1" x="4"/>
        <item h="1" x="2"/>
        <item t="default"/>
      </items>
    </pivotField>
    <pivotField numFmtId="2" showAll="0">
      <items count="6">
        <item x="2"/>
        <item x="1"/>
        <item x="4"/>
        <item x="3"/>
        <item x="0"/>
        <item t="default"/>
      </items>
    </pivotField>
    <pivotField numFmtId="2" showAll="0">
      <items count="1194">
        <item x="1154"/>
        <item x="67"/>
        <item x="861"/>
        <item x="251"/>
        <item x="473"/>
        <item x="484"/>
        <item x="240"/>
        <item x="542"/>
        <item x="336"/>
        <item x="628"/>
        <item x="772"/>
        <item x="128"/>
        <item x="774"/>
        <item x="708"/>
        <item x="675"/>
        <item x="832"/>
        <item x="424"/>
        <item x="1019"/>
        <item x="688"/>
        <item x="601"/>
        <item x="479"/>
        <item x="602"/>
        <item x="1045"/>
        <item x="1014"/>
        <item x="922"/>
        <item x="1151"/>
        <item x="809"/>
        <item x="1006"/>
        <item x="702"/>
        <item x="49"/>
        <item x="303"/>
        <item x="544"/>
        <item x="604"/>
        <item x="682"/>
        <item x="488"/>
        <item x="759"/>
        <item x="1093"/>
        <item x="1127"/>
        <item x="1038"/>
        <item x="411"/>
        <item x="387"/>
        <item x="758"/>
        <item x="927"/>
        <item x="532"/>
        <item x="1071"/>
        <item x="231"/>
        <item x="250"/>
        <item x="62"/>
        <item x="506"/>
        <item x="733"/>
        <item x="136"/>
        <item x="784"/>
        <item x="467"/>
        <item x="630"/>
        <item x="657"/>
        <item x="526"/>
        <item x="193"/>
        <item x="108"/>
        <item x="92"/>
        <item x="703"/>
        <item x="11"/>
        <item x="22"/>
        <item x="1114"/>
        <item x="669"/>
        <item x="712"/>
        <item x="431"/>
        <item x="684"/>
        <item x="398"/>
        <item x="350"/>
        <item x="721"/>
        <item x="279"/>
        <item x="417"/>
        <item x="557"/>
        <item x="932"/>
        <item x="306"/>
        <item x="426"/>
        <item x="26"/>
        <item x="230"/>
        <item x="219"/>
        <item x="902"/>
        <item x="20"/>
        <item x="478"/>
        <item x="456"/>
        <item x="1100"/>
        <item x="634"/>
        <item x="775"/>
        <item x="378"/>
        <item x="351"/>
        <item x="923"/>
        <item x="716"/>
        <item x="275"/>
        <item x="235"/>
        <item x="162"/>
        <item x="292"/>
        <item x="406"/>
        <item x="312"/>
        <item x="585"/>
        <item x="535"/>
        <item x="175"/>
        <item x="798"/>
        <item x="710"/>
        <item x="135"/>
        <item x="443"/>
        <item x="976"/>
        <item x="1044"/>
        <item x="1171"/>
        <item x="572"/>
        <item x="102"/>
        <item x="746"/>
        <item x="1077"/>
        <item x="324"/>
        <item x="600"/>
        <item x="928"/>
        <item x="662"/>
        <item x="594"/>
        <item x="1001"/>
        <item x="1128"/>
        <item x="1042"/>
        <item x="896"/>
        <item x="393"/>
        <item x="452"/>
        <item x="256"/>
        <item x="37"/>
        <item x="827"/>
        <item x="760"/>
        <item x="1102"/>
        <item x="980"/>
        <item x="831"/>
        <item x="576"/>
        <item x="48"/>
        <item x="65"/>
        <item x="440"/>
        <item x="409"/>
        <item x="1103"/>
        <item x="131"/>
        <item x="641"/>
        <item x="1056"/>
        <item x="166"/>
        <item x="1023"/>
        <item x="656"/>
        <item x="829"/>
        <item x="530"/>
        <item x="968"/>
        <item x="74"/>
        <item x="277"/>
        <item x="224"/>
        <item x="315"/>
        <item x="1168"/>
        <item x="555"/>
        <item x="699"/>
        <item x="701"/>
        <item x="1160"/>
        <item x="698"/>
        <item x="386"/>
        <item x="695"/>
        <item x="513"/>
        <item x="375"/>
        <item x="720"/>
        <item x="725"/>
        <item x="613"/>
        <item x="545"/>
        <item x="404"/>
        <item x="290"/>
        <item x="693"/>
        <item x="160"/>
        <item x="258"/>
        <item x="150"/>
        <item x="971"/>
        <item x="1188"/>
        <item x="843"/>
        <item x="295"/>
        <item x="974"/>
        <item x="454"/>
        <item x="945"/>
        <item x="743"/>
        <item x="937"/>
        <item x="497"/>
        <item x="218"/>
        <item x="990"/>
        <item x="363"/>
        <item x="88"/>
        <item x="793"/>
        <item x="95"/>
        <item x="719"/>
        <item x="413"/>
        <item x="930"/>
        <item x="860"/>
        <item x="551"/>
        <item x="207"/>
        <item x="715"/>
        <item x="61"/>
        <item x="1076"/>
        <item x="332"/>
        <item x="1092"/>
        <item x="305"/>
        <item x="66"/>
        <item x="395"/>
        <item x="1170"/>
        <item x="718"/>
        <item x="64"/>
        <item x="949"/>
        <item x="1055"/>
        <item x="1165"/>
        <item x="730"/>
        <item x="310"/>
        <item x="498"/>
        <item x="654"/>
        <item x="563"/>
        <item x="412"/>
        <item x="871"/>
        <item x="186"/>
        <item x="806"/>
        <item x="8"/>
        <item x="444"/>
        <item x="619"/>
        <item x="977"/>
        <item x="503"/>
        <item x="722"/>
        <item x="286"/>
        <item x="414"/>
        <item x="908"/>
        <item x="317"/>
        <item x="958"/>
        <item x="865"/>
        <item x="955"/>
        <item x="460"/>
        <item x="243"/>
        <item x="584"/>
        <item x="748"/>
        <item x="439"/>
        <item x="85"/>
        <item x="145"/>
        <item x="892"/>
        <item x="205"/>
        <item x="812"/>
        <item x="171"/>
        <item x="318"/>
        <item x="489"/>
        <item x="7"/>
        <item x="644"/>
        <item x="323"/>
        <item x="694"/>
        <item x="1"/>
        <item x="42"/>
        <item x="321"/>
        <item x="524"/>
        <item x="314"/>
        <item x="583"/>
        <item x="891"/>
        <item x="679"/>
        <item x="559"/>
        <item x="755"/>
        <item x="894"/>
        <item x="954"/>
        <item x="546"/>
        <item x="1174"/>
        <item x="448"/>
        <item x="28"/>
        <item x="400"/>
        <item x="289"/>
        <item x="952"/>
        <item x="427"/>
        <item x="1094"/>
        <item x="566"/>
        <item x="33"/>
        <item x="676"/>
        <item x="1179"/>
        <item x="84"/>
        <item x="516"/>
        <item x="341"/>
        <item x="791"/>
        <item x="507"/>
        <item x="883"/>
        <item x="261"/>
        <item x="352"/>
        <item x="819"/>
        <item x="78"/>
        <item x="783"/>
        <item x="1003"/>
        <item x="691"/>
        <item x="834"/>
        <item x="50"/>
        <item x="1037"/>
        <item x="898"/>
        <item x="12"/>
        <item x="90"/>
        <item x="274"/>
        <item x="1012"/>
        <item x="451"/>
        <item x="358"/>
        <item x="415"/>
        <item x="616"/>
        <item x="778"/>
        <item x="1180"/>
        <item x="105"/>
        <item x="577"/>
        <item x="183"/>
        <item x="727"/>
        <item x="579"/>
        <item x="209"/>
        <item x="655"/>
        <item x="864"/>
        <item x="1187"/>
        <item x="113"/>
        <item x="1119"/>
        <item x="828"/>
        <item x="385"/>
        <item x="381"/>
        <item x="939"/>
        <item x="211"/>
        <item x="663"/>
        <item x="723"/>
        <item x="1113"/>
        <item x="690"/>
        <item x="1086"/>
        <item x="837"/>
        <item x="517"/>
        <item x="333"/>
        <item x="1147"/>
        <item x="1058"/>
        <item x="134"/>
        <item x="496"/>
        <item x="376"/>
        <item x="13"/>
        <item x="99"/>
        <item x="501"/>
        <item x="1177"/>
        <item x="592"/>
        <item x="335"/>
        <item x="422"/>
        <item x="362"/>
        <item x="284"/>
        <item x="1166"/>
        <item x="1085"/>
        <item x="1084"/>
        <item x="47"/>
        <item x="1106"/>
        <item x="185"/>
        <item x="161"/>
        <item x="597"/>
        <item x="1169"/>
        <item x="571"/>
        <item x="847"/>
        <item x="184"/>
        <item x="419"/>
        <item x="196"/>
        <item x="807"/>
        <item x="149"/>
        <item x="103"/>
        <item x="242"/>
        <item x="144"/>
        <item x="110"/>
        <item x="247"/>
        <item x="436"/>
        <item x="197"/>
        <item x="785"/>
        <item x="1167"/>
        <item x="1067"/>
        <item x="245"/>
        <item x="190"/>
        <item x="1158"/>
        <item x="19"/>
        <item x="1155"/>
        <item x="732"/>
        <item x="334"/>
        <item x="87"/>
        <item x="1008"/>
        <item x="704"/>
        <item x="98"/>
        <item x="550"/>
        <item x="206"/>
        <item x="474"/>
        <item x="612"/>
        <item x="969"/>
        <item x="24"/>
        <item x="664"/>
        <item x="322"/>
        <item x="96"/>
        <item x="1017"/>
        <item x="876"/>
        <item x="683"/>
        <item x="1104"/>
        <item x="339"/>
        <item x="621"/>
        <item x="234"/>
        <item x="802"/>
        <item x="900"/>
        <item x="273"/>
        <item x="689"/>
        <item x="853"/>
        <item x="751"/>
        <item x="981"/>
        <item x="1024"/>
        <item x="5"/>
        <item x="38"/>
        <item x="985"/>
        <item x="776"/>
        <item x="998"/>
        <item x="924"/>
        <item x="537"/>
        <item x="629"/>
        <item x="262"/>
        <item x="194"/>
        <item x="1031"/>
        <item x="569"/>
        <item x="137"/>
        <item x="1111"/>
        <item x="462"/>
        <item x="449"/>
        <item x="666"/>
        <item x="995"/>
        <item x="477"/>
        <item x="804"/>
        <item x="202"/>
        <item x="172"/>
        <item x="1064"/>
        <item x="810"/>
        <item x="1091"/>
        <item x="580"/>
        <item x="39"/>
        <item x="667"/>
        <item x="855"/>
        <item x="633"/>
        <item x="745"/>
        <item x="377"/>
        <item x="330"/>
        <item x="994"/>
        <item x="857"/>
        <item x="1191"/>
        <item x="428"/>
        <item x="382"/>
        <item x="254"/>
        <item x="470"/>
        <item x="129"/>
        <item x="255"/>
        <item x="347"/>
        <item x="212"/>
        <item x="1053"/>
        <item x="970"/>
        <item x="884"/>
        <item x="988"/>
        <item x="920"/>
        <item x="1010"/>
        <item x="156"/>
        <item x="543"/>
        <item x="368"/>
        <item x="823"/>
        <item x="142"/>
        <item x="3"/>
        <item x="23"/>
        <item x="1054"/>
        <item x="225"/>
        <item x="878"/>
        <item x="605"/>
        <item x="1049"/>
        <item x="316"/>
        <item x="126"/>
        <item x="1096"/>
        <item x="941"/>
        <item x="1013"/>
        <item x="123"/>
        <item x="299"/>
        <item x="764"/>
        <item x="54"/>
        <item x="962"/>
        <item x="1176"/>
        <item x="329"/>
        <item x="754"/>
        <item x="983"/>
        <item x="124"/>
        <item x="396"/>
        <item x="300"/>
        <item x="421"/>
        <item x="116"/>
        <item x="905"/>
        <item x="811"/>
        <item x="1131"/>
        <item x="979"/>
        <item x="379"/>
        <item x="294"/>
        <item x="138"/>
        <item x="1173"/>
        <item x="903"/>
        <item x="933"/>
        <item x="1033"/>
        <item x="159"/>
        <item x="1007"/>
        <item x="298"/>
        <item x="1150"/>
        <item x="425"/>
        <item x="133"/>
        <item x="1143"/>
        <item x="215"/>
        <item x="978"/>
        <item x="514"/>
        <item x="1070"/>
        <item x="610"/>
        <item x="936"/>
        <item x="338"/>
        <item x="214"/>
        <item x="947"/>
        <item x="1156"/>
        <item x="636"/>
        <item x="371"/>
        <item x="565"/>
        <item x="757"/>
        <item x="906"/>
        <item x="111"/>
        <item x="270"/>
        <item x="418"/>
        <item x="233"/>
        <item x="79"/>
        <item x="370"/>
        <item x="57"/>
        <item x="768"/>
        <item x="1097"/>
        <item x="442"/>
        <item x="1015"/>
        <item x="1157"/>
        <item x="180"/>
        <item x="1061"/>
        <item x="866"/>
        <item x="1039"/>
        <item x="45"/>
        <item x="244"/>
        <item x="236"/>
        <item x="148"/>
        <item x="997"/>
        <item x="531"/>
        <item x="1057"/>
        <item x="842"/>
        <item x="217"/>
        <item x="765"/>
        <item x="895"/>
        <item x="1123"/>
        <item x="869"/>
        <item x="1159"/>
        <item x="726"/>
        <item x="782"/>
        <item x="665"/>
        <item x="434"/>
        <item x="441"/>
        <item x="797"/>
        <item x="859"/>
        <item x="874"/>
        <item x="158"/>
        <item x="1161"/>
        <item x="934"/>
        <item x="380"/>
        <item x="685"/>
        <item x="739"/>
        <item x="553"/>
        <item x="459"/>
        <item x="480"/>
        <item x="1108"/>
        <item x="753"/>
        <item x="1125"/>
        <item x="402"/>
        <item x="285"/>
        <item x="646"/>
        <item x="198"/>
        <item x="373"/>
        <item x="651"/>
        <item x="623"/>
        <item x="673"/>
        <item x="246"/>
        <item x="21"/>
        <item x="1178"/>
        <item x="568"/>
        <item x="40"/>
        <item x="1145"/>
        <item x="55"/>
        <item x="291"/>
        <item x="487"/>
        <item x="1095"/>
        <item x="483"/>
        <item x="1009"/>
        <item x="1060"/>
        <item x="1141"/>
        <item x="790"/>
        <item x="1105"/>
        <item x="203"/>
        <item x="210"/>
        <item x="672"/>
        <item x="348"/>
        <item x="844"/>
        <item x="327"/>
        <item x="677"/>
        <item x="325"/>
        <item x="1066"/>
        <item x="570"/>
        <item x="278"/>
        <item x="1032"/>
        <item x="188"/>
        <item x="840"/>
        <item x="564"/>
        <item x="960"/>
        <item x="227"/>
        <item x="849"/>
        <item x="643"/>
        <item x="1018"/>
        <item x="914"/>
        <item x="1027"/>
        <item x="635"/>
        <item x="1181"/>
        <item x="649"/>
        <item x="852"/>
        <item x="1099"/>
        <item x="671"/>
        <item x="220"/>
        <item x="356"/>
        <item x="915"/>
        <item x="115"/>
        <item x="369"/>
        <item x="1184"/>
        <item x="510"/>
        <item x="738"/>
        <item x="956"/>
        <item x="101"/>
        <item x="482"/>
        <item x="1136"/>
        <item x="653"/>
        <item x="76"/>
        <item x="913"/>
        <item x="167"/>
        <item x="238"/>
        <item x="574"/>
        <item x="792"/>
        <item x="595"/>
        <item x="228"/>
        <item x="707"/>
        <item x="737"/>
        <item x="696"/>
        <item x="51"/>
        <item x="1182"/>
        <item x="609"/>
        <item x="816"/>
        <item x="1043"/>
        <item x="1065"/>
        <item x="999"/>
        <item x="14"/>
        <item x="383"/>
        <item x="929"/>
        <item x="81"/>
        <item x="888"/>
        <item x="622"/>
        <item x="907"/>
        <item x="801"/>
        <item x="75"/>
        <item x="817"/>
        <item x="152"/>
        <item x="272"/>
        <item x="25"/>
        <item x="143"/>
        <item x="461"/>
        <item x="518"/>
        <item x="181"/>
        <item x="826"/>
        <item x="280"/>
        <item x="485"/>
        <item x="942"/>
        <item x="257"/>
        <item x="260"/>
        <item x="951"/>
        <item x="154"/>
        <item x="208"/>
        <item x="1118"/>
        <item x="357"/>
        <item x="304"/>
        <item x="789"/>
        <item x="1036"/>
        <item x="1130"/>
        <item x="112"/>
        <item x="121"/>
        <item x="1002"/>
        <item x="617"/>
        <item x="146"/>
        <item x="838"/>
        <item x="1052"/>
        <item x="964"/>
        <item x="408"/>
        <item x="204"/>
        <item x="253"/>
        <item x="1030"/>
        <item x="435"/>
        <item x="447"/>
        <item x="60"/>
        <item x="788"/>
        <item x="986"/>
        <item x="468"/>
        <item x="734"/>
        <item x="1122"/>
        <item x="493"/>
        <item x="1175"/>
        <item x="491"/>
        <item x="1000"/>
        <item x="573"/>
        <item x="1139"/>
        <item x="331"/>
        <item x="674"/>
        <item x="858"/>
        <item x="17"/>
        <item x="29"/>
        <item x="268"/>
        <item x="399"/>
        <item x="432"/>
        <item x="155"/>
        <item x="660"/>
        <item x="509"/>
        <item x="552"/>
        <item x="1074"/>
        <item x="548"/>
        <item x="940"/>
        <item x="30"/>
        <item x="397"/>
        <item x="169"/>
        <item x="916"/>
        <item x="1051"/>
        <item x="750"/>
        <item x="189"/>
        <item x="841"/>
        <item x="176"/>
        <item x="93"/>
        <item x="18"/>
        <item x="177"/>
        <item x="466"/>
        <item x="1185"/>
        <item x="200"/>
        <item x="355"/>
        <item x="73"/>
        <item x="845"/>
        <item x="313"/>
        <item x="464"/>
        <item x="71"/>
        <item x="263"/>
        <item x="505"/>
        <item x="259"/>
        <item x="856"/>
        <item x="264"/>
        <item x="1190"/>
        <item x="781"/>
        <item x="642"/>
        <item x="475"/>
        <item x="795"/>
        <item x="661"/>
        <item x="917"/>
        <item x="886"/>
        <item x="1022"/>
        <item x="965"/>
        <item x="1088"/>
        <item x="901"/>
        <item x="839"/>
        <item x="950"/>
        <item x="232"/>
        <item x="992"/>
        <item x="151"/>
        <item x="687"/>
        <item x="611"/>
        <item x="575"/>
        <item x="877"/>
        <item x="308"/>
        <item x="608"/>
        <item x="430"/>
        <item x="132"/>
        <item x="1016"/>
        <item x="405"/>
        <item x="752"/>
        <item x="420"/>
        <item x="1062"/>
        <item x="714"/>
        <item x="89"/>
        <item x="926"/>
        <item x="541"/>
        <item x="897"/>
        <item x="438"/>
        <item x="882"/>
        <item x="614"/>
        <item x="590"/>
        <item x="742"/>
        <item x="293"/>
        <item x="678"/>
        <item x="824"/>
        <item x="519"/>
        <item x="504"/>
        <item x="1073"/>
        <item x="1089"/>
        <item x="106"/>
        <item x="35"/>
        <item x="147"/>
        <item x="349"/>
        <item x="943"/>
        <item x="342"/>
        <item x="1152"/>
        <item x="490"/>
        <item x="1126"/>
        <item x="267"/>
        <item x="302"/>
        <item x="127"/>
        <item x="868"/>
        <item x="803"/>
        <item x="27"/>
        <item x="899"/>
        <item x="991"/>
        <item x="15"/>
        <item x="582"/>
        <item x="728"/>
        <item x="58"/>
        <item x="1098"/>
        <item x="709"/>
        <item x="909"/>
        <item x="620"/>
        <item x="1005"/>
        <item x="69"/>
        <item x="56"/>
        <item x="820"/>
        <item x="938"/>
        <item x="822"/>
        <item x="893"/>
        <item x="993"/>
        <item x="372"/>
        <item x="481"/>
        <item x="736"/>
        <item x="830"/>
        <item x="1050"/>
        <item x="445"/>
        <item x="796"/>
        <item x="53"/>
        <item x="191"/>
        <item x="870"/>
        <item x="311"/>
        <item x="593"/>
        <item x="851"/>
        <item x="538"/>
        <item x="68"/>
        <item x="862"/>
        <item x="1063"/>
        <item x="1081"/>
        <item x="91"/>
        <item x="554"/>
        <item x="567"/>
        <item x="780"/>
        <item x="495"/>
        <item x="297"/>
        <item x="561"/>
        <item x="731"/>
        <item x="598"/>
        <item x="216"/>
        <item x="1047"/>
        <item x="114"/>
        <item x="645"/>
        <item x="1134"/>
        <item x="626"/>
        <item x="43"/>
        <item x="31"/>
        <item x="165"/>
        <item x="589"/>
        <item x="345"/>
        <item x="130"/>
        <item x="1132"/>
        <item x="921"/>
        <item x="118"/>
        <item x="337"/>
        <item x="911"/>
        <item x="948"/>
        <item x="494"/>
        <item x="1029"/>
        <item x="1090"/>
        <item x="1137"/>
        <item x="472"/>
        <item x="500"/>
        <item x="390"/>
        <item x="9"/>
        <item x="680"/>
        <item x="446"/>
        <item x="458"/>
        <item x="178"/>
        <item x="771"/>
        <item x="437"/>
        <item x="125"/>
        <item x="288"/>
        <item x="1079"/>
        <item x="465"/>
        <item x="476"/>
        <item x="587"/>
        <item x="429"/>
        <item x="522"/>
        <item x="881"/>
        <item x="1028"/>
        <item x="410"/>
        <item x="747"/>
        <item x="1164"/>
        <item x="1172"/>
        <item x="340"/>
        <item x="935"/>
        <item x="586"/>
        <item x="873"/>
        <item x="779"/>
        <item x="1162"/>
        <item x="391"/>
        <item x="343"/>
        <item x="521"/>
        <item x="140"/>
        <item x="638"/>
        <item x="394"/>
        <item x="959"/>
        <item x="94"/>
        <item x="1109"/>
        <item x="539"/>
        <item x="1046"/>
        <item x="711"/>
        <item x="735"/>
        <item x="618"/>
        <item x="122"/>
        <item x="16"/>
        <item x="867"/>
        <item x="36"/>
        <item x="153"/>
        <item x="1148"/>
        <item x="119"/>
        <item x="763"/>
        <item x="117"/>
        <item x="1034"/>
        <item x="925"/>
        <item x="164"/>
        <item x="32"/>
        <item x="401"/>
        <item x="239"/>
        <item x="668"/>
        <item x="499"/>
        <item x="179"/>
        <item x="283"/>
        <item x="1041"/>
        <item x="83"/>
        <item x="1153"/>
        <item x="271"/>
        <item x="607"/>
        <item x="249"/>
        <item x="1040"/>
        <item x="407"/>
        <item x="875"/>
        <item x="309"/>
        <item x="46"/>
        <item x="44"/>
        <item x="2"/>
        <item x="471"/>
        <item x="1068"/>
        <item x="1133"/>
        <item x="515"/>
        <item x="808"/>
        <item x="384"/>
        <item x="1116"/>
        <item x="1021"/>
        <item x="599"/>
        <item x="307"/>
        <item x="508"/>
        <item x="627"/>
        <item x="1035"/>
        <item x="1192"/>
        <item x="879"/>
        <item x="700"/>
        <item x="229"/>
        <item x="319"/>
        <item x="918"/>
        <item x="157"/>
        <item x="63"/>
        <item x="82"/>
        <item x="502"/>
        <item x="533"/>
        <item x="578"/>
        <item x="640"/>
        <item x="512"/>
        <item x="850"/>
        <item x="813"/>
        <item x="761"/>
        <item x="0"/>
        <item x="1138"/>
        <item x="374"/>
        <item x="265"/>
        <item x="1075"/>
        <item x="814"/>
        <item x="890"/>
        <item x="511"/>
        <item x="647"/>
        <item x="741"/>
        <item x="34"/>
        <item x="1117"/>
        <item x="836"/>
        <item x="588"/>
        <item x="637"/>
        <item x="961"/>
        <item x="912"/>
        <item x="794"/>
        <item x="104"/>
        <item x="724"/>
        <item x="266"/>
        <item x="77"/>
        <item x="237"/>
        <item x="139"/>
        <item x="301"/>
        <item x="729"/>
        <item x="987"/>
        <item x="52"/>
        <item x="854"/>
        <item x="639"/>
        <item x="226"/>
        <item x="1140"/>
        <item x="1110"/>
        <item x="777"/>
        <item x="560"/>
        <item x="972"/>
        <item x="72"/>
        <item x="80"/>
        <item x="360"/>
        <item x="187"/>
        <item x="109"/>
        <item x="686"/>
        <item x="59"/>
        <item x="944"/>
        <item x="168"/>
        <item x="880"/>
        <item x="799"/>
        <item x="946"/>
        <item x="815"/>
        <item x="1082"/>
        <item x="749"/>
        <item x="182"/>
        <item x="276"/>
        <item x="174"/>
        <item x="957"/>
        <item x="786"/>
        <item x="615"/>
        <item x="632"/>
        <item x="366"/>
        <item x="1120"/>
        <item x="770"/>
        <item x="967"/>
        <item x="591"/>
        <item x="596"/>
        <item x="492"/>
        <item x="359"/>
        <item x="1144"/>
        <item x="872"/>
        <item x="486"/>
        <item x="41"/>
        <item x="547"/>
        <item x="697"/>
        <item x="450"/>
        <item x="989"/>
        <item x="241"/>
        <item x="457"/>
        <item x="536"/>
        <item x="1183"/>
        <item x="1026"/>
        <item x="195"/>
        <item x="97"/>
        <item x="403"/>
        <item x="344"/>
        <item x="818"/>
        <item x="670"/>
        <item x="756"/>
        <item x="199"/>
        <item x="773"/>
        <item x="320"/>
        <item x="10"/>
        <item x="4"/>
        <item x="910"/>
        <item x="966"/>
        <item x="392"/>
        <item x="581"/>
        <item x="762"/>
        <item x="558"/>
        <item x="364"/>
        <item x="528"/>
        <item x="70"/>
        <item x="120"/>
        <item x="984"/>
        <item x="549"/>
        <item x="353"/>
        <item x="433"/>
        <item x="388"/>
        <item x="1072"/>
        <item x="606"/>
        <item x="213"/>
        <item x="1101"/>
        <item x="520"/>
        <item x="282"/>
        <item x="848"/>
        <item x="296"/>
        <item x="963"/>
        <item x="221"/>
        <item x="455"/>
        <item x="825"/>
        <item x="163"/>
        <item x="658"/>
        <item x="648"/>
        <item x="86"/>
        <item x="953"/>
        <item x="416"/>
        <item x="800"/>
        <item x="982"/>
        <item x="192"/>
        <item x="846"/>
        <item x="650"/>
        <item x="1078"/>
        <item x="1121"/>
        <item x="534"/>
        <item x="540"/>
        <item x="1087"/>
        <item x="973"/>
        <item x="919"/>
        <item x="705"/>
        <item x="1083"/>
        <item x="885"/>
        <item x="659"/>
        <item x="681"/>
        <item x="821"/>
        <item x="766"/>
        <item x="527"/>
        <item x="713"/>
        <item x="556"/>
        <item x="887"/>
        <item x="281"/>
        <item x="346"/>
        <item x="287"/>
        <item x="835"/>
        <item x="603"/>
        <item x="625"/>
        <item x="523"/>
        <item x="367"/>
        <item x="1004"/>
        <item x="361"/>
        <item x="1107"/>
        <item x="1048"/>
        <item x="744"/>
        <item x="1189"/>
        <item x="463"/>
        <item x="170"/>
        <item x="269"/>
        <item x="562"/>
        <item x="6"/>
        <item x="173"/>
        <item x="1025"/>
        <item x="100"/>
        <item x="706"/>
        <item x="692"/>
        <item x="1059"/>
        <item x="1129"/>
        <item x="252"/>
        <item x="525"/>
        <item x="975"/>
        <item x="326"/>
        <item x="248"/>
        <item x="107"/>
        <item x="624"/>
        <item x="328"/>
        <item x="201"/>
        <item x="529"/>
        <item x="453"/>
        <item x="805"/>
        <item x="469"/>
        <item x="863"/>
        <item x="1020"/>
        <item x="889"/>
        <item x="631"/>
        <item x="1115"/>
        <item x="365"/>
        <item x="767"/>
        <item x="833"/>
        <item x="1011"/>
        <item x="717"/>
        <item x="141"/>
        <item x="1112"/>
        <item x="423"/>
        <item x="1069"/>
        <item x="1186"/>
        <item x="652"/>
        <item x="1149"/>
        <item x="787"/>
        <item x="769"/>
        <item x="931"/>
        <item x="223"/>
        <item x="1080"/>
        <item x="222"/>
        <item x="354"/>
        <item x="1124"/>
        <item x="1135"/>
        <item x="1142"/>
        <item x="1146"/>
        <item x="1163"/>
        <item x="389"/>
        <item x="904"/>
        <item x="996"/>
        <item x="740"/>
        <item t="default"/>
      </items>
    </pivotField>
    <pivotField showAll="0"/>
    <pivotField showAll="0">
      <items count="6">
        <item x="4"/>
        <item x="2"/>
        <item x="0"/>
        <item x="3"/>
        <item x="1"/>
        <item t="default"/>
      </items>
    </pivotField>
    <pivotField showAll="0">
      <items count="6">
        <item x="1"/>
        <item x="3"/>
        <item x="4"/>
        <item x="2"/>
        <item x="0"/>
        <item t="default"/>
      </items>
    </pivotField>
    <pivotField showAll="0"/>
    <pivotField numFmtId="49" showAll="0"/>
    <pivotField showAll="0"/>
    <pivotField showAll="0"/>
    <pivotField dataField="1" numFmtId="49"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numFmtId="4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3"/>
    </i>
    <i t="grand">
      <x/>
    </i>
  </rowItems>
  <colItems count="1">
    <i/>
  </colItems>
  <dataFields count="1">
    <dataField name="Sum of TotalPrice" fld="13" baseField="0" baseItem="0" numFmtId="49"/>
  </dataFields>
  <chartFormats count="8">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3" count="1" selected="0">
            <x v="0"/>
          </reference>
        </references>
      </pivotArea>
    </chartFormat>
    <chartFormat chart="14" format="3">
      <pivotArea type="data" outline="0" fieldPosition="0">
        <references count="2">
          <reference field="4294967294" count="1" selected="0">
            <x v="0"/>
          </reference>
          <reference field="3" count="1" selected="0">
            <x v="1"/>
          </reference>
        </references>
      </pivotArea>
    </chartFormat>
    <chartFormat chart="14" format="4">
      <pivotArea type="data" outline="0" fieldPosition="0">
        <references count="2">
          <reference field="4294967294" count="1" selected="0">
            <x v="0"/>
          </reference>
          <reference field="3" count="1" selected="0">
            <x v="2"/>
          </reference>
        </references>
      </pivotArea>
    </chartFormat>
    <chartFormat chart="14" format="5">
      <pivotArea type="data" outline="0" fieldPosition="0">
        <references count="2">
          <reference field="4294967294" count="1" selected="0">
            <x v="0"/>
          </reference>
          <reference field="3" count="1" selected="0">
            <x v="3"/>
          </reference>
        </references>
      </pivotArea>
    </chartFormat>
    <chartFormat chart="14" format="6">
      <pivotArea type="data" outline="0" fieldPosition="0">
        <references count="2">
          <reference field="4294967294" count="1" selected="0">
            <x v="0"/>
          </reference>
          <reference field="3" count="1" selected="0">
            <x v="4"/>
          </reference>
        </references>
      </pivotArea>
    </chartFormat>
    <chartFormat chart="14" format="7">
      <pivotArea type="data" outline="0" fieldPosition="0">
        <references count="2">
          <reference field="4294967294" count="1" selected="0">
            <x v="0"/>
          </reference>
          <reference field="3" count="1" selected="0">
            <x v="5"/>
          </reference>
        </references>
      </pivotArea>
    </chartFormat>
    <chartFormat chart="14" format="8">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97E13-D535-4DEC-BF3B-F6CB9407A7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8" firstHeaderRow="0"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dataField="1" numFmtId="2" showAll="0"/>
    <pivotField numFmtId="2" showAll="0"/>
    <pivotField showAll="0"/>
    <pivotField showAll="0">
      <items count="6">
        <item x="4"/>
        <item x="2"/>
        <item x="0"/>
        <item x="3"/>
        <item x="1"/>
        <item t="default"/>
      </items>
    </pivotField>
    <pivotField showAll="0"/>
    <pivotField showAll="0"/>
    <pivotField numFmtId="49" showAll="0"/>
    <pivotField axis="axisRow" showAll="0">
      <items count="5">
        <item x="1"/>
        <item x="0"/>
        <item x="3"/>
        <item x="2"/>
        <item t="default"/>
      </items>
    </pivotField>
    <pivotField showAll="0"/>
    <pivotField dataField="1" numFmtId="49" showAll="0"/>
    <pivotField numFmtId="4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2"/>
  </colFields>
  <colItems count="2">
    <i>
      <x/>
    </i>
    <i i="1">
      <x v="1"/>
    </i>
  </colItems>
  <dataFields count="2">
    <dataField name="Sum of TotalPrice" fld="13" baseField="0" baseItem="0" numFmtId="1"/>
    <dataField name="Sum of Quantity" fld="4" baseField="0" baseItem="0" numFmtId="1"/>
  </dataFields>
  <formats count="4">
    <format dxfId="31">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0"/>
          </reference>
        </references>
      </pivotArea>
    </format>
    <format dxfId="29">
      <pivotArea outline="0" collapsedLevelsAreSubtotals="1" fieldPosition="0">
        <references count="1">
          <reference field="4294967294" count="1" selected="0">
            <x v="1"/>
          </reference>
        </references>
      </pivotArea>
    </format>
    <format dxfId="28">
      <pivotArea dataOnly="0" labelOnly="1" outline="0" fieldPosition="0">
        <references count="1">
          <reference field="4294967294" count="1">
            <x v="1"/>
          </reference>
        </references>
      </pivotArea>
    </format>
  </formats>
  <chartFormats count="10">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0"/>
          </reference>
          <reference field="11" count="1" selected="0">
            <x v="0"/>
          </reference>
        </references>
      </pivotArea>
    </chartFormat>
    <chartFormat chart="18" format="7">
      <pivotArea type="data" outline="0" fieldPosition="0">
        <references count="2">
          <reference field="4294967294" count="1" selected="0">
            <x v="0"/>
          </reference>
          <reference field="11" count="1" selected="0">
            <x v="1"/>
          </reference>
        </references>
      </pivotArea>
    </chartFormat>
    <chartFormat chart="18" format="8">
      <pivotArea type="data" outline="0" fieldPosition="0">
        <references count="2">
          <reference field="4294967294" count="1" selected="0">
            <x v="0"/>
          </reference>
          <reference field="11" count="1" selected="0">
            <x v="2"/>
          </reference>
        </references>
      </pivotArea>
    </chartFormat>
    <chartFormat chart="18" format="9">
      <pivotArea type="data" outline="0" fieldPosition="0">
        <references count="2">
          <reference field="4294967294" count="1" selected="0">
            <x v="0"/>
          </reference>
          <reference field="11" count="1" selected="0">
            <x v="3"/>
          </reference>
        </references>
      </pivotArea>
    </chartFormat>
    <chartFormat chart="18" format="10">
      <pivotArea type="data" outline="0" fieldPosition="0">
        <references count="2">
          <reference field="4294967294" count="1" selected="0">
            <x v="1"/>
          </reference>
          <reference field="11" count="1" selected="0">
            <x v="0"/>
          </reference>
        </references>
      </pivotArea>
    </chartFormat>
    <chartFormat chart="18" format="11">
      <pivotArea type="data" outline="0" fieldPosition="0">
        <references count="2">
          <reference field="4294967294" count="1" selected="0">
            <x v="1"/>
          </reference>
          <reference field="11" count="1" selected="0">
            <x v="1"/>
          </reference>
        </references>
      </pivotArea>
    </chartFormat>
    <chartFormat chart="18" format="12">
      <pivotArea type="data" outline="0" fieldPosition="0">
        <references count="2">
          <reference field="4294967294" count="1" selected="0">
            <x v="1"/>
          </reference>
          <reference field="11" count="1" selected="0">
            <x v="2"/>
          </reference>
        </references>
      </pivotArea>
    </chartFormat>
    <chartFormat chart="18" format="13">
      <pivotArea type="data" outline="0" fieldPosition="0">
        <references count="2">
          <reference field="4294967294"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17B2B3-D38A-48F9-89F1-809100890CE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B7"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2" showAll="0">
      <items count="6">
        <item x="2"/>
        <item x="1"/>
        <item x="4"/>
        <item x="3"/>
        <item x="0"/>
        <item t="default"/>
      </items>
    </pivotField>
    <pivotField numFmtId="2" showAll="0"/>
    <pivotField showAll="0"/>
    <pivotField showAll="0">
      <items count="6">
        <item x="4"/>
        <item x="2"/>
        <item x="0"/>
        <item x="3"/>
        <item x="1"/>
        <item t="default"/>
      </items>
    </pivotField>
    <pivotField showAll="0"/>
    <pivotField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numFmtId="49" showAll="0"/>
    <pivotField showAll="0">
      <items count="5">
        <item x="1"/>
        <item x="0"/>
        <item x="3"/>
        <item x="2"/>
        <item t="default"/>
      </items>
    </pivotField>
    <pivotField axis="axisRow" showAll="0">
      <items count="6">
        <item x="2"/>
        <item x="3"/>
        <item x="4"/>
        <item x="0"/>
        <item x="1"/>
        <item t="default"/>
      </items>
    </pivotField>
    <pivotField dataField="1" numFmtId="49" showAll="0"/>
    <pivotField numFmtId="4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Price" fld="13" baseField="0" baseItem="0" numFmtId="1"/>
  </dataFields>
  <formats count="2">
    <format dxfId="27">
      <pivotArea outline="0" collapsedLevelsAreSubtotals="1" fieldPosition="0"/>
    </format>
    <format dxfId="26">
      <pivotArea dataOnly="0" labelOnly="1" outline="0" axis="axisValues" fieldPosition="0"/>
    </format>
  </formats>
  <chartFormats count="1">
    <chartFormat chart="2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6DB3D-E1B9-4E94-B183-FFC6CAC7C4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G12" firstHeaderRow="1" firstDataRow="2"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items count="8">
        <item x="3"/>
        <item x="6"/>
        <item x="5"/>
        <item x="0"/>
        <item x="1"/>
        <item x="4"/>
        <item x="2"/>
        <item t="default"/>
      </items>
    </pivotField>
    <pivotField numFmtId="2" showAll="0"/>
    <pivotField numFmtId="2" showAll="0"/>
    <pivotField showAll="0"/>
    <pivotField axis="axisCol" showAll="0">
      <items count="6">
        <item x="4"/>
        <item x="2"/>
        <item x="0"/>
        <item x="3"/>
        <item x="1"/>
        <item t="default"/>
      </items>
    </pivotField>
    <pivotField showAll="0"/>
    <pivotField showAll="0"/>
    <pivotField numFmtId="49" showAll="0"/>
    <pivotField showAll="0"/>
    <pivotField showAll="0"/>
    <pivotField dataField="1" numFmtId="49" showAll="0"/>
    <pivotField numFmtId="4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7"/>
  </colFields>
  <colItems count="6">
    <i>
      <x/>
    </i>
    <i>
      <x v="1"/>
    </i>
    <i>
      <x v="2"/>
    </i>
    <i>
      <x v="3"/>
    </i>
    <i>
      <x v="4"/>
    </i>
    <i t="grand">
      <x/>
    </i>
  </colItems>
  <dataFields count="1">
    <dataField name="Sum of TotalPrice" fld="13" baseField="0" baseItem="0" numFmtId="1"/>
  </dataFields>
  <formats count="2">
    <format dxfId="25">
      <pivotArea outline="0" collapsedLevelsAreSubtotals="1" fieldPosition="0"/>
    </format>
    <format dxfId="24">
      <pivotArea dataOnly="0" labelOnly="1" outline="0" axis="axisValues" fieldPosition="0"/>
    </format>
  </formats>
  <chartFormats count="15">
    <chartFormat chart="7" format="10" series="1">
      <pivotArea type="data" outline="0" fieldPosition="0">
        <references count="2">
          <reference field="4294967294" count="1" selected="0">
            <x v="0"/>
          </reference>
          <reference field="7" count="1" selected="0">
            <x v="4"/>
          </reference>
        </references>
      </pivotArea>
    </chartFormat>
    <chartFormat chart="8" format="11" series="1">
      <pivotArea type="data" outline="0" fieldPosition="0">
        <references count="2">
          <reference field="4294967294" count="1" selected="0">
            <x v="0"/>
          </reference>
          <reference field="7" count="1" selected="0">
            <x v="4"/>
          </reference>
        </references>
      </pivotArea>
    </chartFormat>
    <chartFormat chart="9" format="11" series="1">
      <pivotArea type="data" outline="0" fieldPosition="0">
        <references count="2">
          <reference field="4294967294" count="1" selected="0">
            <x v="0"/>
          </reference>
          <reference field="7" count="1" selected="0">
            <x v="4"/>
          </reference>
        </references>
      </pivotArea>
    </chartFormat>
    <chartFormat chart="9" format="12" series="1">
      <pivotArea type="data" outline="0" fieldPosition="0">
        <references count="2">
          <reference field="4294967294" count="1" selected="0">
            <x v="0"/>
          </reference>
          <reference field="7" count="1" selected="0">
            <x v="1"/>
          </reference>
        </references>
      </pivotArea>
    </chartFormat>
    <chartFormat chart="8" format="12" series="1">
      <pivotArea type="data" outline="0" fieldPosition="0">
        <references count="2">
          <reference field="4294967294" count="1" selected="0">
            <x v="0"/>
          </reference>
          <reference field="7" count="1" selected="0">
            <x v="1"/>
          </reference>
        </references>
      </pivotArea>
    </chartFormat>
    <chartFormat chart="7" format="11" series="1">
      <pivotArea type="data" outline="0" fieldPosition="0">
        <references count="2">
          <reference field="4294967294" count="1" selected="0">
            <x v="0"/>
          </reference>
          <reference field="7" count="1" selected="0">
            <x v="1"/>
          </reference>
        </references>
      </pivotArea>
    </chartFormat>
    <chartFormat chart="9" format="13" series="1">
      <pivotArea type="data" outline="0" fieldPosition="0">
        <references count="2">
          <reference field="4294967294" count="1" selected="0">
            <x v="0"/>
          </reference>
          <reference field="7" count="1" selected="0">
            <x v="0"/>
          </reference>
        </references>
      </pivotArea>
    </chartFormat>
    <chartFormat chart="8" format="13" series="1">
      <pivotArea type="data" outline="0" fieldPosition="0">
        <references count="2">
          <reference field="4294967294" count="1" selected="0">
            <x v="0"/>
          </reference>
          <reference field="7" count="1" selected="0">
            <x v="0"/>
          </reference>
        </references>
      </pivotArea>
    </chartFormat>
    <chartFormat chart="7" format="12" series="1">
      <pivotArea type="data" outline="0" fieldPosition="0">
        <references count="2">
          <reference field="4294967294" count="1" selected="0">
            <x v="0"/>
          </reference>
          <reference field="7" count="1" selected="0">
            <x v="0"/>
          </reference>
        </references>
      </pivotArea>
    </chartFormat>
    <chartFormat chart="9" format="14" series="1">
      <pivotArea type="data" outline="0" fieldPosition="0">
        <references count="2">
          <reference field="4294967294" count="1" selected="0">
            <x v="0"/>
          </reference>
          <reference field="7" count="1" selected="0">
            <x v="2"/>
          </reference>
        </references>
      </pivotArea>
    </chartFormat>
    <chartFormat chart="8" format="14" series="1">
      <pivotArea type="data" outline="0" fieldPosition="0">
        <references count="2">
          <reference field="4294967294" count="1" selected="0">
            <x v="0"/>
          </reference>
          <reference field="7" count="1" selected="0">
            <x v="2"/>
          </reference>
        </references>
      </pivotArea>
    </chartFormat>
    <chartFormat chart="7" format="13" series="1">
      <pivotArea type="data" outline="0" fieldPosition="0">
        <references count="2">
          <reference field="4294967294" count="1" selected="0">
            <x v="0"/>
          </reference>
          <reference field="7" count="1" selected="0">
            <x v="2"/>
          </reference>
        </references>
      </pivotArea>
    </chartFormat>
    <chartFormat chart="9" format="15" series="1">
      <pivotArea type="data" outline="0" fieldPosition="0">
        <references count="2">
          <reference field="4294967294" count="1" selected="0">
            <x v="0"/>
          </reference>
          <reference field="7" count="1" selected="0">
            <x v="3"/>
          </reference>
        </references>
      </pivotArea>
    </chartFormat>
    <chartFormat chart="8" format="15" series="1">
      <pivotArea type="data" outline="0" fieldPosition="0">
        <references count="2">
          <reference field="4294967294" count="1" selected="0">
            <x v="0"/>
          </reference>
          <reference field="7" count="1" selected="0">
            <x v="3"/>
          </reference>
        </references>
      </pivotArea>
    </chartFormat>
    <chartFormat chart="7" format="14"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D6CE2-107A-4DB8-9756-31DA9E91253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2" showAll="0"/>
    <pivotField numFmtId="2" showAll="0"/>
    <pivotField showAll="0"/>
    <pivotField showAll="0">
      <items count="6">
        <item x="4"/>
        <item x="2"/>
        <item x="0"/>
        <item x="3"/>
        <item x="1"/>
        <item t="default"/>
      </items>
    </pivotField>
    <pivotField showAll="0"/>
    <pivotField showAll="0"/>
    <pivotField numFmtId="49" showAll="0"/>
    <pivotField showAll="0"/>
    <pivotField showAll="0"/>
    <pivotField dataField="1" numFmtId="49" showAll="0"/>
    <pivotField numFmtId="49" showAll="0"/>
    <pivotField axis="axisRow"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Price" fld="13" baseField="0" baseItem="0" numFmtId="4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726FD-A5D5-46EC-8D1F-BBC1127D15F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O11" firstHeaderRow="1" firstDataRow="2" firstDataCol="1"/>
  <pivotFields count="18">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Col" showAll="0">
      <items count="8">
        <item x="3"/>
        <item x="6"/>
        <item x="5"/>
        <item x="0"/>
        <item x="1"/>
        <item x="4"/>
        <item x="2"/>
        <item t="default"/>
      </items>
    </pivotField>
    <pivotField numFmtId="2" showAll="0">
      <items count="6">
        <item x="2"/>
        <item x="1"/>
        <item x="4"/>
        <item x="3"/>
        <item x="0"/>
        <item t="default"/>
      </items>
    </pivotField>
    <pivotField numFmtId="2"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numFmtId="49" showAll="0"/>
    <pivotField showAll="0"/>
    <pivotField showAll="0"/>
    <pivotField numFmtId="49" showAll="0"/>
    <pivotField numFmtId="4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3"/>
  </colFields>
  <colItems count="8">
    <i>
      <x/>
    </i>
    <i>
      <x v="1"/>
    </i>
    <i>
      <x v="2"/>
    </i>
    <i>
      <x v="3"/>
    </i>
    <i>
      <x v="4"/>
    </i>
    <i>
      <x v="5"/>
    </i>
    <i>
      <x v="6"/>
    </i>
    <i t="grand">
      <x/>
    </i>
  </colItems>
  <dataFields count="1">
    <dataField name="Count of OrderID" fld="0" subtotal="count" baseField="0" baseItem="0"/>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12C8B6-694F-4A1B-9F16-FF6C66BF8E10}" sourceName="Product">
  <pivotTables>
    <pivotTable tabId="6" name="PivotTable5"/>
    <pivotTable tabId="9" name="PivotTable11"/>
    <pivotTable tabId="11" name="PivotTable19"/>
    <pivotTable tabId="8" name="PivotTable10"/>
    <pivotTable tabId="7" name="PivotTable6"/>
  </pivotTables>
  <data>
    <tabular pivotCacheId="785016125">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F43C4A5-E380-4C87-AC49-E683DDB95A29}" sourceName="PaymentMethod">
  <pivotTables>
    <pivotTable tabId="8" name="PivotTable10"/>
    <pivotTable tabId="6" name="PivotTable5"/>
    <pivotTable tabId="9" name="PivotTable11"/>
    <pivotTable tabId="11" name="PivotTable19"/>
    <pivotTable tabId="2" name="PivotTable1"/>
    <pivotTable tabId="7" name="PivotTable6"/>
  </pivotTables>
  <data>
    <tabular pivotCacheId="785016125">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F8FDB68-81CF-4B48-A062-200F1CC7FA27}" cache="Slicer_Product" caption="Product" rowHeight="234950"/>
  <slicer name="PaymentMethod 1" xr10:uid="{EA0F9655-22B9-4B40-BA71-643C712EB792}" cache="Slicer_PaymentMethod" caption="Payment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213926F-2F43-4F2A-A3D4-84AC56092204}" cache="Slicer_Product" caption="Product" rowHeight="234950"/>
  <slicer name="PaymentMethod" xr10:uid="{DA43E82E-AC52-4E99-9C8C-AD9118F1FA30}" cache="Slicer_PaymentMethod" caption="Payment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E25064-F71E-4E31-9AD1-C602E0281B8A}" name="ordersTable" displayName="ordersTable" ref="A1:O1201" totalsRowShown="0" headerRowDxfId="23" headerRowBorderDxfId="22" tableBorderDxfId="21">
  <autoFilter ref="A1:O1201" xr:uid="{DDE25064-F71E-4E31-9AD1-C602E0281B8A}"/>
  <tableColumns count="15">
    <tableColumn id="1" xr3:uid="{FC1EB3BB-564F-4363-A964-CA18C2FA84EA}" name="OrderID" dataDxfId="20"/>
    <tableColumn id="2" xr3:uid="{F8CCE79B-5D4B-4581-B8B5-BFFB374B601D}" name="Date" dataDxfId="19"/>
    <tableColumn id="3" xr3:uid="{99EFC0DF-D0E5-4DA9-8646-3376A0C4DA5C}" name="CustomerID" dataDxfId="18"/>
    <tableColumn id="4" xr3:uid="{1B91A0AD-FEAA-40AD-B4B8-34A6D0875833}" name="Product" dataDxfId="17"/>
    <tableColumn id="5" xr3:uid="{13AF68CE-AC31-4B9C-9B44-5435E5235444}" name="Quantity" dataDxfId="16"/>
    <tableColumn id="6" xr3:uid="{A930594B-66AA-4E2B-BD73-F6D0728FFFC3}" name="UnitPrice" dataDxfId="15"/>
    <tableColumn id="7" xr3:uid="{2801BB02-8A8B-4C6F-8139-E2F3C33F00C9}" name="ShippingAddress" dataDxfId="14"/>
    <tableColumn id="8" xr3:uid="{298740FB-FFB9-4AD2-BB1E-2140E7EEE38B}" name="PaymentMethod" dataDxfId="13"/>
    <tableColumn id="9" xr3:uid="{20538321-F605-47B5-B7DC-592C455EA16D}" name="OrderStatus" dataDxfId="12"/>
    <tableColumn id="10" xr3:uid="{FCD2580E-0075-431E-9D7D-7932453E3D18}" name="TrackingNumber" dataDxfId="11"/>
    <tableColumn id="11" xr3:uid="{37BF1BE7-88AA-4FDE-A265-3540112EA14C}" name="ItemsInCart" dataDxfId="10"/>
    <tableColumn id="12" xr3:uid="{39905C9A-F1C2-4F39-993E-6931B081C795}" name="CouponCode" dataDxfId="9"/>
    <tableColumn id="13" xr3:uid="{4E267BD0-7071-48C0-B0DF-088075A1BB8E}" name="ReferralSource" dataDxfId="8"/>
    <tableColumn id="14" xr3:uid="{32AD9F2B-1E20-47BC-9AAC-9019C60B0FEF}" name="TotalPrice" dataDxfId="7"/>
    <tableColumn id="15" xr3:uid="{D35C1259-C8D9-4134-8AEE-172AD5212AC0}" name="Column1" dataDxfId="6">
      <calculatedColumnFormula>(ordersTable[[#This Row],[Quantity]]*ordersTable[[#This Row],[UnitPrice]])-ordersTable[[#This Row],[TotalPrice]]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111B-C139-49F8-9D2B-F7001BE724BC}">
  <dimension ref="A3:B5"/>
  <sheetViews>
    <sheetView workbookViewId="0">
      <selection activeCell="M9" sqref="M9"/>
    </sheetView>
  </sheetViews>
  <sheetFormatPr defaultRowHeight="14.4" x14ac:dyDescent="0.3"/>
  <cols>
    <col min="1" max="1" width="12.5546875" bestFit="1" customWidth="1"/>
    <col min="2" max="2" width="15.88671875" bestFit="1" customWidth="1"/>
    <col min="3" max="3" width="15.44140625" bestFit="1" customWidth="1"/>
    <col min="4" max="1201" width="10.6640625" bestFit="1" customWidth="1"/>
    <col min="1202" max="1202" width="10.77734375" bestFit="1" customWidth="1"/>
    <col min="1203" max="1206" width="8.21875" bestFit="1" customWidth="1"/>
    <col min="1207" max="1207" width="10.88671875" bestFit="1" customWidth="1"/>
    <col min="1208" max="1208" width="10.77734375" bestFit="1" customWidth="1"/>
    <col min="1209" max="1209" width="8.5546875" bestFit="1" customWidth="1"/>
    <col min="1210" max="1210" width="11.21875" bestFit="1" customWidth="1"/>
    <col min="1211" max="1211" width="8.5546875" bestFit="1" customWidth="1"/>
    <col min="1212" max="1212" width="11.21875" bestFit="1" customWidth="1"/>
    <col min="1213" max="1213" width="8.5546875" bestFit="1" customWidth="1"/>
    <col min="1214" max="1214" width="11.21875" bestFit="1" customWidth="1"/>
    <col min="1215" max="1215" width="8.5546875" bestFit="1" customWidth="1"/>
    <col min="1216" max="1216" width="11.21875" bestFit="1" customWidth="1"/>
    <col min="1217" max="1217" width="8.5546875" bestFit="1" customWidth="1"/>
    <col min="1218" max="1218" width="11.21875" bestFit="1" customWidth="1"/>
    <col min="1219" max="1219" width="8.5546875" bestFit="1" customWidth="1"/>
    <col min="1220" max="1220" width="11.21875" bestFit="1" customWidth="1"/>
    <col min="1221" max="1221" width="8.5546875" bestFit="1" customWidth="1"/>
    <col min="1222" max="1222" width="11.21875" bestFit="1" customWidth="1"/>
    <col min="1223" max="1223" width="7.5546875" bestFit="1" customWidth="1"/>
    <col min="1224" max="1224" width="10.21875" bestFit="1" customWidth="1"/>
    <col min="1225" max="1225" width="8.5546875" bestFit="1" customWidth="1"/>
    <col min="1226" max="1226" width="11.21875" bestFit="1" customWidth="1"/>
    <col min="1227" max="1227" width="7.88671875" bestFit="1" customWidth="1"/>
    <col min="1228" max="1228" width="10.21875" bestFit="1" customWidth="1"/>
    <col min="1229" max="1229" width="8.5546875" bestFit="1" customWidth="1"/>
    <col min="1230" max="1230" width="11.21875" bestFit="1" customWidth="1"/>
    <col min="1231" max="1231" width="7.5546875" bestFit="1" customWidth="1"/>
    <col min="1232" max="1232" width="10.21875" bestFit="1" customWidth="1"/>
    <col min="1233" max="1233" width="8.5546875" bestFit="1" customWidth="1"/>
    <col min="1234" max="1234" width="11.21875" bestFit="1" customWidth="1"/>
    <col min="1235" max="1235" width="8.5546875" bestFit="1" customWidth="1"/>
    <col min="1236" max="1236" width="11.21875" bestFit="1" customWidth="1"/>
    <col min="1237" max="1237" width="8.5546875" bestFit="1" customWidth="1"/>
    <col min="1238" max="1238" width="11.21875" bestFit="1" customWidth="1"/>
    <col min="1239" max="1239" width="7.5546875" bestFit="1" customWidth="1"/>
    <col min="1240" max="1240" width="10.21875" bestFit="1" customWidth="1"/>
    <col min="1241" max="1241" width="7.5546875" bestFit="1" customWidth="1"/>
    <col min="1242" max="1242" width="10.21875" bestFit="1" customWidth="1"/>
    <col min="1243" max="1243" width="8.5546875" bestFit="1" customWidth="1"/>
    <col min="1244" max="1244" width="11.21875" bestFit="1" customWidth="1"/>
    <col min="1245" max="1245" width="8.5546875" bestFit="1" customWidth="1"/>
    <col min="1246" max="1246" width="11.21875" bestFit="1" customWidth="1"/>
    <col min="1247" max="1247" width="8.5546875" bestFit="1" customWidth="1"/>
    <col min="1248" max="1248" width="11.21875" bestFit="1" customWidth="1"/>
    <col min="1249" max="1249" width="8.5546875" bestFit="1" customWidth="1"/>
    <col min="1250" max="1250" width="11.21875" bestFit="1" customWidth="1"/>
    <col min="1251" max="1251" width="8.5546875" bestFit="1" customWidth="1"/>
    <col min="1252" max="1252" width="11.21875" bestFit="1" customWidth="1"/>
    <col min="1253" max="1253" width="8.5546875" bestFit="1" customWidth="1"/>
    <col min="1254" max="1254" width="11.21875" bestFit="1" customWidth="1"/>
    <col min="1255" max="1255" width="8.5546875" bestFit="1" customWidth="1"/>
    <col min="1256" max="1256" width="11.21875" bestFit="1" customWidth="1"/>
    <col min="1257" max="1257" width="8.5546875" bestFit="1" customWidth="1"/>
    <col min="1258" max="1258" width="11.21875" bestFit="1" customWidth="1"/>
    <col min="1259" max="1259" width="8.5546875" bestFit="1" customWidth="1"/>
    <col min="1260" max="1260" width="11.21875" bestFit="1" customWidth="1"/>
    <col min="1261" max="1261" width="8.5546875" bestFit="1" customWidth="1"/>
    <col min="1262" max="1262" width="11.21875" bestFit="1" customWidth="1"/>
    <col min="1263" max="1263" width="8.5546875" bestFit="1" customWidth="1"/>
    <col min="1264" max="1264" width="11.21875" bestFit="1" customWidth="1"/>
    <col min="1265" max="1265" width="7.5546875" bestFit="1" customWidth="1"/>
    <col min="1266" max="1266" width="10.21875" bestFit="1" customWidth="1"/>
    <col min="1267" max="1267" width="8.5546875" bestFit="1" customWidth="1"/>
    <col min="1268" max="1268" width="11.21875" bestFit="1" customWidth="1"/>
    <col min="1269" max="1269" width="6" bestFit="1" customWidth="1"/>
    <col min="1270" max="1270" width="8.6640625" bestFit="1" customWidth="1"/>
    <col min="1271" max="1271" width="7.5546875" bestFit="1" customWidth="1"/>
    <col min="1272" max="1272" width="10.21875" bestFit="1" customWidth="1"/>
    <col min="1273" max="1273" width="8.5546875" bestFit="1" customWidth="1"/>
    <col min="1274" max="1274" width="11.21875" bestFit="1" customWidth="1"/>
    <col min="1275" max="1275" width="8.5546875" bestFit="1" customWidth="1"/>
    <col min="1276" max="1276" width="11.21875" bestFit="1" customWidth="1"/>
    <col min="1277" max="1277" width="8.5546875" bestFit="1" customWidth="1"/>
    <col min="1278" max="1278" width="11.21875" bestFit="1" customWidth="1"/>
    <col min="1279" max="1279" width="8.5546875" bestFit="1" customWidth="1"/>
    <col min="1280" max="1280" width="11.21875" bestFit="1" customWidth="1"/>
    <col min="1281" max="1281" width="8.5546875" bestFit="1" customWidth="1"/>
    <col min="1282" max="1282" width="11.21875" bestFit="1" customWidth="1"/>
    <col min="1283" max="1283" width="7.5546875" bestFit="1" customWidth="1"/>
    <col min="1284" max="1284" width="10.21875" bestFit="1" customWidth="1"/>
    <col min="1285" max="1285" width="8.5546875" bestFit="1" customWidth="1"/>
    <col min="1286" max="1286" width="11.21875" bestFit="1" customWidth="1"/>
    <col min="1287" max="1287" width="8.5546875" bestFit="1" customWidth="1"/>
    <col min="1288" max="1288" width="11.21875" bestFit="1" customWidth="1"/>
    <col min="1289" max="1289" width="8.5546875" bestFit="1" customWidth="1"/>
    <col min="1290" max="1290" width="11.21875" bestFit="1" customWidth="1"/>
    <col min="1291" max="1291" width="8.5546875" bestFit="1" customWidth="1"/>
    <col min="1292" max="1292" width="11.21875" bestFit="1" customWidth="1"/>
    <col min="1293" max="1293" width="8.5546875" bestFit="1" customWidth="1"/>
    <col min="1294" max="1294" width="11.21875" bestFit="1" customWidth="1"/>
    <col min="1295" max="1295" width="8.5546875" bestFit="1" customWidth="1"/>
    <col min="1296" max="1296" width="11.21875" bestFit="1" customWidth="1"/>
    <col min="1297" max="1297" width="8.5546875" bestFit="1" customWidth="1"/>
    <col min="1298" max="1298" width="11.21875" bestFit="1" customWidth="1"/>
    <col min="1299" max="1299" width="7.88671875" bestFit="1" customWidth="1"/>
    <col min="1300" max="1300" width="8.6640625" bestFit="1" customWidth="1"/>
    <col min="1301" max="1301" width="8.5546875" bestFit="1" customWidth="1"/>
    <col min="1302" max="1302" width="11.21875" bestFit="1" customWidth="1"/>
    <col min="1303" max="1303" width="7.88671875" bestFit="1" customWidth="1"/>
    <col min="1304" max="1304" width="10.21875" bestFit="1" customWidth="1"/>
    <col min="1305" max="1305" width="8.5546875" bestFit="1" customWidth="1"/>
    <col min="1306" max="1306" width="11.21875" bestFit="1" customWidth="1"/>
    <col min="1307" max="1307" width="7.88671875" bestFit="1" customWidth="1"/>
    <col min="1308" max="1308" width="10.21875" bestFit="1" customWidth="1"/>
    <col min="1309" max="1309" width="8.5546875" bestFit="1" customWidth="1"/>
    <col min="1310" max="1310" width="11.21875" bestFit="1" customWidth="1"/>
    <col min="1311" max="1311" width="7.5546875" bestFit="1" customWidth="1"/>
    <col min="1312" max="1312" width="10.21875" bestFit="1" customWidth="1"/>
    <col min="1313" max="1313" width="8.5546875" bestFit="1" customWidth="1"/>
    <col min="1314" max="1314" width="11.21875" bestFit="1" customWidth="1"/>
    <col min="1315" max="1315" width="7.88671875" bestFit="1" customWidth="1"/>
    <col min="1316" max="1316" width="10.21875" bestFit="1" customWidth="1"/>
    <col min="1317" max="1317" width="8.5546875" bestFit="1" customWidth="1"/>
    <col min="1318" max="1318" width="11.21875" bestFit="1" customWidth="1"/>
    <col min="1319" max="1319" width="8.5546875" bestFit="1" customWidth="1"/>
    <col min="1320" max="1320" width="11.21875" bestFit="1" customWidth="1"/>
    <col min="1321" max="1321" width="8.5546875" bestFit="1" customWidth="1"/>
    <col min="1322" max="1322" width="11.21875" bestFit="1" customWidth="1"/>
    <col min="1323" max="1323" width="8.5546875" bestFit="1" customWidth="1"/>
    <col min="1324" max="1324" width="11.21875" bestFit="1" customWidth="1"/>
    <col min="1325" max="1325" width="8.5546875" bestFit="1" customWidth="1"/>
    <col min="1326" max="1326" width="11.21875" bestFit="1" customWidth="1"/>
    <col min="1327" max="1327" width="7.5546875" bestFit="1" customWidth="1"/>
    <col min="1328" max="1328" width="10.21875" bestFit="1" customWidth="1"/>
    <col min="1329" max="1329" width="8.5546875" bestFit="1" customWidth="1"/>
    <col min="1330" max="1330" width="11.21875" bestFit="1" customWidth="1"/>
    <col min="1331" max="1331" width="8.5546875" bestFit="1" customWidth="1"/>
    <col min="1332" max="1332" width="11.21875" bestFit="1" customWidth="1"/>
    <col min="1333" max="1333" width="8.5546875" bestFit="1" customWidth="1"/>
    <col min="1334" max="1334" width="11.21875" bestFit="1" customWidth="1"/>
    <col min="1335" max="1335" width="8.5546875" bestFit="1" customWidth="1"/>
    <col min="1336" max="1336" width="11.21875" bestFit="1" customWidth="1"/>
    <col min="1337" max="1337" width="8.5546875" bestFit="1" customWidth="1"/>
    <col min="1338" max="1338" width="11.21875" bestFit="1" customWidth="1"/>
    <col min="1339" max="1339" width="7.5546875" bestFit="1" customWidth="1"/>
    <col min="1340" max="1340" width="10.21875" bestFit="1" customWidth="1"/>
    <col min="1341" max="1341" width="7.5546875" bestFit="1" customWidth="1"/>
    <col min="1342" max="1342" width="10.21875" bestFit="1" customWidth="1"/>
    <col min="1343" max="1343" width="8.5546875" bestFit="1" customWidth="1"/>
    <col min="1344" max="1344" width="11.21875" bestFit="1" customWidth="1"/>
    <col min="1345" max="1345" width="8.5546875" bestFit="1" customWidth="1"/>
    <col min="1346" max="1346" width="11.21875" bestFit="1" customWidth="1"/>
    <col min="1347" max="1347" width="7.5546875" bestFit="1" customWidth="1"/>
    <col min="1348" max="1348" width="10.21875" bestFit="1" customWidth="1"/>
    <col min="1349" max="1349" width="8.5546875" bestFit="1" customWidth="1"/>
    <col min="1350" max="1350" width="11.21875" bestFit="1" customWidth="1"/>
    <col min="1351" max="1351" width="7.5546875" bestFit="1" customWidth="1"/>
    <col min="1352" max="1352" width="10.21875" bestFit="1" customWidth="1"/>
    <col min="1353" max="1353" width="8.5546875" bestFit="1" customWidth="1"/>
    <col min="1354" max="1354" width="11.21875" bestFit="1" customWidth="1"/>
    <col min="1355" max="1355" width="7.5546875" bestFit="1" customWidth="1"/>
    <col min="1356" max="1356" width="10.21875" bestFit="1" customWidth="1"/>
    <col min="1357" max="1357" width="8.5546875" bestFit="1" customWidth="1"/>
    <col min="1358" max="1358" width="11.21875" bestFit="1" customWidth="1"/>
    <col min="1359" max="1359" width="7.5546875" bestFit="1" customWidth="1"/>
    <col min="1360" max="1360" width="10.21875" bestFit="1" customWidth="1"/>
    <col min="1361" max="1361" width="8.5546875" bestFit="1" customWidth="1"/>
    <col min="1362" max="1362" width="11.21875" bestFit="1" customWidth="1"/>
    <col min="1363" max="1363" width="8.5546875" bestFit="1" customWidth="1"/>
    <col min="1364" max="1364" width="11.21875" bestFit="1" customWidth="1"/>
    <col min="1365" max="1365" width="8.5546875" bestFit="1" customWidth="1"/>
    <col min="1366" max="1366" width="11.21875" bestFit="1" customWidth="1"/>
    <col min="1367" max="1367" width="8.5546875" bestFit="1" customWidth="1"/>
    <col min="1368" max="1368" width="11.21875" bestFit="1" customWidth="1"/>
    <col min="1369" max="1369" width="8.5546875" bestFit="1" customWidth="1"/>
    <col min="1370" max="1370" width="11.21875" bestFit="1" customWidth="1"/>
    <col min="1371" max="1371" width="8.5546875" bestFit="1" customWidth="1"/>
    <col min="1372" max="1372" width="11.21875" bestFit="1" customWidth="1"/>
    <col min="1373" max="1373" width="9.5546875" bestFit="1" customWidth="1"/>
    <col min="1374" max="1374" width="12.21875" bestFit="1" customWidth="1"/>
    <col min="1375" max="1375" width="8.5546875" bestFit="1" customWidth="1"/>
    <col min="1376" max="1376" width="11.21875" bestFit="1" customWidth="1"/>
    <col min="1377" max="1377" width="8.5546875" bestFit="1" customWidth="1"/>
    <col min="1378" max="1378" width="11.21875" bestFit="1" customWidth="1"/>
    <col min="1379" max="1379" width="9.5546875" bestFit="1" customWidth="1"/>
    <col min="1380" max="1380" width="12.21875" bestFit="1" customWidth="1"/>
    <col min="1381" max="1381" width="9.5546875" bestFit="1" customWidth="1"/>
    <col min="1382" max="1382" width="12.21875" bestFit="1" customWidth="1"/>
    <col min="1383" max="1383" width="9.5546875" bestFit="1" customWidth="1"/>
    <col min="1384" max="1384" width="12.21875" bestFit="1" customWidth="1"/>
    <col min="1385" max="1385" width="9.5546875" bestFit="1" customWidth="1"/>
    <col min="1386" max="1386" width="12.21875" bestFit="1" customWidth="1"/>
    <col min="1387" max="1387" width="9.5546875" bestFit="1" customWidth="1"/>
    <col min="1388" max="1388" width="12.21875" bestFit="1" customWidth="1"/>
    <col min="1389" max="1389" width="8.5546875" bestFit="1" customWidth="1"/>
    <col min="1390" max="1390" width="11.21875" bestFit="1" customWidth="1"/>
    <col min="1391" max="1391" width="9.5546875" bestFit="1" customWidth="1"/>
    <col min="1392" max="1392" width="12.21875" bestFit="1" customWidth="1"/>
    <col min="1393" max="1393" width="9.5546875" bestFit="1" customWidth="1"/>
    <col min="1394" max="1394" width="12.21875" bestFit="1" customWidth="1"/>
    <col min="1395" max="1395" width="9.5546875" bestFit="1" customWidth="1"/>
    <col min="1396" max="1396" width="12.21875" bestFit="1" customWidth="1"/>
    <col min="1397" max="1397" width="8.5546875" bestFit="1" customWidth="1"/>
    <col min="1398" max="1398" width="11.21875" bestFit="1" customWidth="1"/>
    <col min="1399" max="1399" width="9.5546875" bestFit="1" customWidth="1"/>
    <col min="1400" max="1400" width="12.21875" bestFit="1" customWidth="1"/>
    <col min="1401" max="1401" width="9.5546875" bestFit="1" customWidth="1"/>
    <col min="1402" max="1402" width="12.21875" bestFit="1" customWidth="1"/>
    <col min="1403" max="1403" width="9.5546875" bestFit="1" customWidth="1"/>
    <col min="1404" max="1404" width="12.21875" bestFit="1" customWidth="1"/>
    <col min="1405" max="1405" width="8.5546875" bestFit="1" customWidth="1"/>
    <col min="1406" max="1406" width="11.21875" bestFit="1" customWidth="1"/>
    <col min="1407" max="1407" width="7" bestFit="1" customWidth="1"/>
    <col min="1408" max="1408" width="9.6640625" bestFit="1" customWidth="1"/>
    <col min="1409" max="1409" width="9.5546875" bestFit="1" customWidth="1"/>
    <col min="1410" max="1410" width="12.21875" bestFit="1" customWidth="1"/>
    <col min="1411" max="1411" width="9.5546875" bestFit="1" customWidth="1"/>
    <col min="1412" max="1412" width="12.21875" bestFit="1" customWidth="1"/>
    <col min="1413" max="1413" width="9.5546875" bestFit="1" customWidth="1"/>
    <col min="1414" max="1414" width="12.21875" bestFit="1" customWidth="1"/>
    <col min="1415" max="1415" width="9.5546875" bestFit="1" customWidth="1"/>
    <col min="1416" max="1416" width="12.21875" bestFit="1" customWidth="1"/>
    <col min="1417" max="1417" width="9.5546875" bestFit="1" customWidth="1"/>
    <col min="1418" max="1418" width="12.21875" bestFit="1" customWidth="1"/>
    <col min="1419" max="1419" width="9.5546875" bestFit="1" customWidth="1"/>
    <col min="1420" max="1420" width="12.21875" bestFit="1" customWidth="1"/>
    <col min="1421" max="1421" width="9.5546875" bestFit="1" customWidth="1"/>
    <col min="1422" max="1422" width="12.21875" bestFit="1" customWidth="1"/>
    <col min="1423" max="1423" width="9.5546875" bestFit="1" customWidth="1"/>
    <col min="1424" max="1424" width="12.21875" bestFit="1" customWidth="1"/>
    <col min="1425" max="1425" width="9.5546875" bestFit="1" customWidth="1"/>
    <col min="1426" max="1426" width="12.21875" bestFit="1" customWidth="1"/>
    <col min="1427" max="1427" width="9.5546875" bestFit="1" customWidth="1"/>
    <col min="1428" max="1428" width="12.21875" bestFit="1" customWidth="1"/>
    <col min="1429" max="1429" width="8.5546875" bestFit="1" customWidth="1"/>
    <col min="1430" max="1430" width="11.21875" bestFit="1" customWidth="1"/>
    <col min="1431" max="1431" width="9.5546875" bestFit="1" customWidth="1"/>
    <col min="1432" max="1432" width="12.21875" bestFit="1" customWidth="1"/>
    <col min="1433" max="1433" width="9.5546875" bestFit="1" customWidth="1"/>
    <col min="1434" max="1434" width="12.21875" bestFit="1" customWidth="1"/>
    <col min="1435" max="1435" width="9.5546875" bestFit="1" customWidth="1"/>
    <col min="1436" max="1436" width="12.21875" bestFit="1" customWidth="1"/>
    <col min="1437" max="1437" width="9.5546875" bestFit="1" customWidth="1"/>
    <col min="1438" max="1438" width="12.21875" bestFit="1" customWidth="1"/>
    <col min="1439" max="1439" width="8.5546875" bestFit="1" customWidth="1"/>
    <col min="1440" max="1440" width="11.21875" bestFit="1" customWidth="1"/>
    <col min="1441" max="1441" width="9.5546875" bestFit="1" customWidth="1"/>
    <col min="1442" max="1442" width="12.21875" bestFit="1" customWidth="1"/>
    <col min="1443" max="1443" width="9.5546875" bestFit="1" customWidth="1"/>
    <col min="1444" max="1444" width="12.21875" bestFit="1" customWidth="1"/>
    <col min="1445" max="1445" width="9.5546875" bestFit="1" customWidth="1"/>
    <col min="1446" max="1446" width="12.21875" bestFit="1" customWidth="1"/>
    <col min="1447" max="1447" width="9.5546875" bestFit="1" customWidth="1"/>
    <col min="1448" max="1448" width="12.21875" bestFit="1" customWidth="1"/>
    <col min="1449" max="1449" width="9.5546875" bestFit="1" customWidth="1"/>
    <col min="1450" max="1450" width="12.21875" bestFit="1" customWidth="1"/>
    <col min="1451" max="1451" width="9.5546875" bestFit="1" customWidth="1"/>
    <col min="1452" max="1452" width="12.21875" bestFit="1" customWidth="1"/>
    <col min="1453" max="1453" width="9.5546875" bestFit="1" customWidth="1"/>
    <col min="1454" max="1454" width="12.21875" bestFit="1" customWidth="1"/>
    <col min="1455" max="1455" width="7" bestFit="1" customWidth="1"/>
    <col min="1456" max="1456" width="9.6640625" bestFit="1" customWidth="1"/>
    <col min="1457" max="1457" width="9.5546875" bestFit="1" customWidth="1"/>
    <col min="1458" max="1458" width="12.21875" bestFit="1" customWidth="1"/>
    <col min="1459" max="1459" width="8.5546875" bestFit="1" customWidth="1"/>
    <col min="1460" max="1460" width="11.21875" bestFit="1" customWidth="1"/>
    <col min="1461" max="1461" width="9.5546875" bestFit="1" customWidth="1"/>
    <col min="1462" max="1462" width="12.21875" bestFit="1" customWidth="1"/>
    <col min="1463" max="1463" width="9.5546875" bestFit="1" customWidth="1"/>
    <col min="1464" max="1464" width="12.21875" bestFit="1" customWidth="1"/>
    <col min="1465" max="1465" width="9.5546875" bestFit="1" customWidth="1"/>
    <col min="1466" max="1466" width="12.21875" bestFit="1" customWidth="1"/>
    <col min="1467" max="1467" width="7" bestFit="1" customWidth="1"/>
    <col min="1468" max="1468" width="9.6640625" bestFit="1" customWidth="1"/>
    <col min="1469" max="1469" width="9.5546875" bestFit="1" customWidth="1"/>
    <col min="1470" max="1470" width="12.21875" bestFit="1" customWidth="1"/>
    <col min="1471" max="1471" width="9.5546875" bestFit="1" customWidth="1"/>
    <col min="1472" max="1472" width="12.21875" bestFit="1" customWidth="1"/>
    <col min="1473" max="1473" width="9.5546875" bestFit="1" customWidth="1"/>
    <col min="1474" max="1474" width="12.21875" bestFit="1" customWidth="1"/>
    <col min="1475" max="1475" width="9.5546875" bestFit="1" customWidth="1"/>
    <col min="1476" max="1476" width="12.21875" bestFit="1" customWidth="1"/>
    <col min="1477" max="1477" width="9.5546875" bestFit="1" customWidth="1"/>
    <col min="1478" max="1478" width="12.21875" bestFit="1" customWidth="1"/>
    <col min="1479" max="1479" width="8.5546875" bestFit="1" customWidth="1"/>
    <col min="1480" max="1480" width="11.21875" bestFit="1" customWidth="1"/>
    <col min="1481" max="1481" width="7.88671875" bestFit="1" customWidth="1"/>
    <col min="1482" max="1482" width="9.6640625" bestFit="1" customWidth="1"/>
    <col min="1483" max="1483" width="9.5546875" bestFit="1" customWidth="1"/>
    <col min="1484" max="1484" width="12.21875" bestFit="1" customWidth="1"/>
    <col min="1485" max="1485" width="9.5546875" bestFit="1" customWidth="1"/>
    <col min="1486" max="1486" width="12.21875" bestFit="1" customWidth="1"/>
    <col min="1487" max="1487" width="9.5546875" bestFit="1" customWidth="1"/>
    <col min="1488" max="1488" width="12.21875" bestFit="1" customWidth="1"/>
    <col min="1489" max="1489" width="9.5546875" bestFit="1" customWidth="1"/>
    <col min="1490" max="1490" width="12.21875" bestFit="1" customWidth="1"/>
    <col min="1491" max="1491" width="9.5546875" bestFit="1" customWidth="1"/>
    <col min="1492" max="1492" width="12.21875" bestFit="1" customWidth="1"/>
    <col min="1493" max="1493" width="9.5546875" bestFit="1" customWidth="1"/>
    <col min="1494" max="1494" width="12.21875" bestFit="1" customWidth="1"/>
    <col min="1495" max="1495" width="9.5546875" bestFit="1" customWidth="1"/>
    <col min="1496" max="1496" width="12.21875" bestFit="1" customWidth="1"/>
    <col min="1497" max="1497" width="9.5546875" bestFit="1" customWidth="1"/>
    <col min="1498" max="1498" width="12.21875" bestFit="1" customWidth="1"/>
    <col min="1499" max="1499" width="9.5546875" bestFit="1" customWidth="1"/>
    <col min="1500" max="1500" width="12.21875" bestFit="1" customWidth="1"/>
    <col min="1501" max="1501" width="9.5546875" bestFit="1" customWidth="1"/>
    <col min="1502" max="1502" width="12.21875" bestFit="1" customWidth="1"/>
    <col min="1503" max="1503" width="9.5546875" bestFit="1" customWidth="1"/>
    <col min="1504" max="1504" width="12.21875" bestFit="1" customWidth="1"/>
    <col min="1505" max="1505" width="9.5546875" bestFit="1" customWidth="1"/>
    <col min="1506" max="1506" width="12.21875" bestFit="1" customWidth="1"/>
    <col min="1507" max="1507" width="8.5546875" bestFit="1" customWidth="1"/>
    <col min="1508" max="1508" width="11.21875" bestFit="1" customWidth="1"/>
    <col min="1509" max="1509" width="8.5546875" bestFit="1" customWidth="1"/>
    <col min="1510" max="1510" width="11.21875" bestFit="1" customWidth="1"/>
    <col min="1511" max="1511" width="9.5546875" bestFit="1" customWidth="1"/>
    <col min="1512" max="1512" width="12.21875" bestFit="1" customWidth="1"/>
    <col min="1513" max="1513" width="9.5546875" bestFit="1" customWidth="1"/>
    <col min="1514" max="1514" width="12.21875" bestFit="1" customWidth="1"/>
    <col min="1515" max="1515" width="8.5546875" bestFit="1" customWidth="1"/>
    <col min="1516" max="1516" width="11.21875" bestFit="1" customWidth="1"/>
    <col min="1517" max="1517" width="9.5546875" bestFit="1" customWidth="1"/>
    <col min="1518" max="1518" width="12.21875" bestFit="1" customWidth="1"/>
    <col min="1519" max="1519" width="9.5546875" bestFit="1" customWidth="1"/>
    <col min="1520" max="1520" width="12.21875" bestFit="1" customWidth="1"/>
    <col min="1521" max="1521" width="8.5546875" bestFit="1" customWidth="1"/>
    <col min="1522" max="1522" width="11.21875" bestFit="1" customWidth="1"/>
    <col min="1523" max="1523" width="9.5546875" bestFit="1" customWidth="1"/>
    <col min="1524" max="1524" width="12.21875" bestFit="1" customWidth="1"/>
    <col min="1525" max="1525" width="7" bestFit="1" customWidth="1"/>
    <col min="1526" max="1526" width="9.6640625" bestFit="1" customWidth="1"/>
    <col min="1527" max="1527" width="9.5546875" bestFit="1" customWidth="1"/>
    <col min="1528" max="1528" width="12.21875" bestFit="1" customWidth="1"/>
    <col min="1529" max="1529" width="9.5546875" bestFit="1" customWidth="1"/>
    <col min="1530" max="1530" width="12.21875" bestFit="1" customWidth="1"/>
    <col min="1531" max="1531" width="9.5546875" bestFit="1" customWidth="1"/>
    <col min="1532" max="1532" width="12.21875" bestFit="1" customWidth="1"/>
    <col min="1533" max="1533" width="9.5546875" bestFit="1" customWidth="1"/>
    <col min="1534" max="1534" width="12.21875" bestFit="1" customWidth="1"/>
    <col min="1535" max="1535" width="9.5546875" bestFit="1" customWidth="1"/>
    <col min="1536" max="1536" width="12.21875" bestFit="1" customWidth="1"/>
    <col min="1537" max="1537" width="9.5546875" bestFit="1" customWidth="1"/>
    <col min="1538" max="1538" width="12.21875" bestFit="1" customWidth="1"/>
    <col min="1539" max="1539" width="9.5546875" bestFit="1" customWidth="1"/>
    <col min="1540" max="1540" width="12.21875" bestFit="1" customWidth="1"/>
    <col min="1541" max="1541" width="9.5546875" bestFit="1" customWidth="1"/>
    <col min="1542" max="1542" width="12.21875" bestFit="1" customWidth="1"/>
    <col min="1543" max="1543" width="9.5546875" bestFit="1" customWidth="1"/>
    <col min="1544" max="1544" width="12.21875" bestFit="1" customWidth="1"/>
    <col min="1545" max="1545" width="9.5546875" bestFit="1" customWidth="1"/>
    <col min="1546" max="1546" width="12.21875" bestFit="1" customWidth="1"/>
    <col min="1547" max="1547" width="8.5546875" bestFit="1" customWidth="1"/>
    <col min="1548" max="1548" width="11.21875" bestFit="1" customWidth="1"/>
    <col min="1549" max="1549" width="9.5546875" bestFit="1" customWidth="1"/>
    <col min="1550" max="1550" width="12.21875" bestFit="1" customWidth="1"/>
    <col min="1551" max="1551" width="8.5546875" bestFit="1" customWidth="1"/>
    <col min="1552" max="1552" width="11.21875" bestFit="1" customWidth="1"/>
    <col min="1553" max="1553" width="9.5546875" bestFit="1" customWidth="1"/>
    <col min="1554" max="1554" width="12.21875" bestFit="1" customWidth="1"/>
    <col min="1555" max="1555" width="9.5546875" bestFit="1" customWidth="1"/>
    <col min="1556" max="1556" width="12.21875" bestFit="1" customWidth="1"/>
    <col min="1557" max="1557" width="9.5546875" bestFit="1" customWidth="1"/>
    <col min="1558" max="1558" width="12.21875" bestFit="1" customWidth="1"/>
    <col min="1559" max="1559" width="9.5546875" bestFit="1" customWidth="1"/>
    <col min="1560" max="1560" width="12.21875" bestFit="1" customWidth="1"/>
    <col min="1561" max="1561" width="9.5546875" bestFit="1" customWidth="1"/>
    <col min="1562" max="1562" width="12.21875" bestFit="1" customWidth="1"/>
    <col min="1563" max="1563" width="8.5546875" bestFit="1" customWidth="1"/>
    <col min="1564" max="1564" width="11.21875" bestFit="1" customWidth="1"/>
    <col min="1565" max="1565" width="9.5546875" bestFit="1" customWidth="1"/>
    <col min="1566" max="1566" width="12.21875" bestFit="1" customWidth="1"/>
    <col min="1567" max="1567" width="9.5546875" bestFit="1" customWidth="1"/>
    <col min="1568" max="1568" width="12.21875" bestFit="1" customWidth="1"/>
    <col min="1569" max="1569" width="9.5546875" bestFit="1" customWidth="1"/>
    <col min="1570" max="1570" width="12.21875" bestFit="1" customWidth="1"/>
    <col min="1571" max="1571" width="9.5546875" bestFit="1" customWidth="1"/>
    <col min="1572" max="1572" width="12.21875" bestFit="1" customWidth="1"/>
    <col min="1573" max="1573" width="9.5546875" bestFit="1" customWidth="1"/>
    <col min="1574" max="1574" width="12.21875" bestFit="1" customWidth="1"/>
    <col min="1575" max="1575" width="8.5546875" bestFit="1" customWidth="1"/>
    <col min="1576" max="1576" width="11.21875" bestFit="1" customWidth="1"/>
    <col min="1577" max="1577" width="9.5546875" bestFit="1" customWidth="1"/>
    <col min="1578" max="1578" width="12.21875" bestFit="1" customWidth="1"/>
    <col min="1579" max="1579" width="9.5546875" bestFit="1" customWidth="1"/>
    <col min="1580" max="1580" width="12.21875" bestFit="1" customWidth="1"/>
    <col min="1581" max="1581" width="8.5546875" bestFit="1" customWidth="1"/>
    <col min="1582" max="1582" width="11.21875" bestFit="1" customWidth="1"/>
    <col min="1583" max="1583" width="9.5546875" bestFit="1" customWidth="1"/>
    <col min="1584" max="1584" width="12.21875" bestFit="1" customWidth="1"/>
    <col min="1585" max="1585" width="9.5546875" bestFit="1" customWidth="1"/>
    <col min="1586" max="1586" width="12.21875" bestFit="1" customWidth="1"/>
    <col min="1587" max="1587" width="9.5546875" bestFit="1" customWidth="1"/>
    <col min="1588" max="1588" width="12.21875" bestFit="1" customWidth="1"/>
    <col min="1589" max="1589" width="9.5546875" bestFit="1" customWidth="1"/>
    <col min="1590" max="1590" width="12.21875" bestFit="1" customWidth="1"/>
    <col min="1591" max="1591" width="9.5546875" bestFit="1" customWidth="1"/>
    <col min="1592" max="1592" width="12.21875" bestFit="1" customWidth="1"/>
    <col min="1593" max="1593" width="9.5546875" bestFit="1" customWidth="1"/>
    <col min="1594" max="1594" width="12.21875" bestFit="1" customWidth="1"/>
    <col min="1595" max="1595" width="9.5546875" bestFit="1" customWidth="1"/>
    <col min="1596" max="1596" width="12.21875" bestFit="1" customWidth="1"/>
    <col min="1597" max="1597" width="9.5546875" bestFit="1" customWidth="1"/>
    <col min="1598" max="1598" width="12.21875" bestFit="1" customWidth="1"/>
    <col min="1599" max="1599" width="9.5546875" bestFit="1" customWidth="1"/>
    <col min="1600" max="1600" width="12.21875" bestFit="1" customWidth="1"/>
    <col min="1601" max="1601" width="9.5546875" bestFit="1" customWidth="1"/>
    <col min="1602" max="1602" width="12.21875" bestFit="1" customWidth="1"/>
    <col min="1603" max="1603" width="9.5546875" bestFit="1" customWidth="1"/>
    <col min="1604" max="1604" width="12.21875" bestFit="1" customWidth="1"/>
    <col min="1605" max="1605" width="9.5546875" bestFit="1" customWidth="1"/>
    <col min="1606" max="1606" width="12.21875" bestFit="1" customWidth="1"/>
    <col min="1607" max="1607" width="9.5546875" bestFit="1" customWidth="1"/>
    <col min="1608" max="1608" width="12.21875" bestFit="1" customWidth="1"/>
    <col min="1609" max="1609" width="8.5546875" bestFit="1" customWidth="1"/>
    <col min="1610" max="1610" width="11.21875" bestFit="1" customWidth="1"/>
    <col min="1611" max="1611" width="9.5546875" bestFit="1" customWidth="1"/>
    <col min="1612" max="1612" width="12.21875" bestFit="1" customWidth="1"/>
    <col min="1613" max="1613" width="8.5546875" bestFit="1" customWidth="1"/>
    <col min="1614" max="1614" width="11.21875" bestFit="1" customWidth="1"/>
    <col min="1615" max="1615" width="9.5546875" bestFit="1" customWidth="1"/>
    <col min="1616" max="1616" width="12.21875" bestFit="1" customWidth="1"/>
    <col min="1617" max="1617" width="9.5546875" bestFit="1" customWidth="1"/>
    <col min="1618" max="1618" width="12.21875" bestFit="1" customWidth="1"/>
    <col min="1619" max="1619" width="9.5546875" bestFit="1" customWidth="1"/>
    <col min="1620" max="1620" width="12.21875" bestFit="1" customWidth="1"/>
    <col min="1621" max="1621" width="8.5546875" bestFit="1" customWidth="1"/>
    <col min="1622" max="1622" width="11.21875" bestFit="1" customWidth="1"/>
    <col min="1623" max="1623" width="9.5546875" bestFit="1" customWidth="1"/>
    <col min="1624" max="1624" width="12.21875" bestFit="1" customWidth="1"/>
    <col min="1625" max="1625" width="9.5546875" bestFit="1" customWidth="1"/>
    <col min="1626" max="1626" width="12.21875" bestFit="1" customWidth="1"/>
    <col min="1627" max="1627" width="9.5546875" bestFit="1" customWidth="1"/>
    <col min="1628" max="1628" width="12.21875" bestFit="1" customWidth="1"/>
    <col min="1629" max="1629" width="9.5546875" bestFit="1" customWidth="1"/>
    <col min="1630" max="1630" width="12.21875" bestFit="1" customWidth="1"/>
    <col min="1631" max="1631" width="9.5546875" bestFit="1" customWidth="1"/>
    <col min="1632" max="1632" width="12.21875" bestFit="1" customWidth="1"/>
    <col min="1633" max="1633" width="9.5546875" bestFit="1" customWidth="1"/>
    <col min="1634" max="1634" width="12.21875" bestFit="1" customWidth="1"/>
    <col min="1635" max="1635" width="9.5546875" bestFit="1" customWidth="1"/>
    <col min="1636" max="1636" width="12.21875" bestFit="1" customWidth="1"/>
    <col min="1637" max="1637" width="9.5546875" bestFit="1" customWidth="1"/>
    <col min="1638" max="1638" width="12.21875" bestFit="1" customWidth="1"/>
    <col min="1639" max="1639" width="9.5546875" bestFit="1" customWidth="1"/>
    <col min="1640" max="1640" width="12.21875" bestFit="1" customWidth="1"/>
    <col min="1641" max="1641" width="9.5546875" bestFit="1" customWidth="1"/>
    <col min="1642" max="1642" width="12.21875" bestFit="1" customWidth="1"/>
    <col min="1643" max="1643" width="9.5546875" bestFit="1" customWidth="1"/>
    <col min="1644" max="1644" width="12.21875" bestFit="1" customWidth="1"/>
    <col min="1645" max="1645" width="9.5546875" bestFit="1" customWidth="1"/>
    <col min="1646" max="1646" width="12.21875" bestFit="1" customWidth="1"/>
    <col min="1647" max="1647" width="8.5546875" bestFit="1" customWidth="1"/>
    <col min="1648" max="1648" width="11.21875" bestFit="1" customWidth="1"/>
    <col min="1649" max="1649" width="9.5546875" bestFit="1" customWidth="1"/>
    <col min="1650" max="1650" width="12.21875" bestFit="1" customWidth="1"/>
    <col min="1651" max="1651" width="8.5546875" bestFit="1" customWidth="1"/>
    <col min="1652" max="1652" width="11.21875" bestFit="1" customWidth="1"/>
    <col min="1653" max="1653" width="9.5546875" bestFit="1" customWidth="1"/>
    <col min="1654" max="1654" width="12.21875" bestFit="1" customWidth="1"/>
    <col min="1655" max="1655" width="9.5546875" bestFit="1" customWidth="1"/>
    <col min="1656" max="1656" width="12.21875" bestFit="1" customWidth="1"/>
    <col min="1657" max="1657" width="9.5546875" bestFit="1" customWidth="1"/>
    <col min="1658" max="1658" width="12.21875" bestFit="1" customWidth="1"/>
    <col min="1659" max="1659" width="8.5546875" bestFit="1" customWidth="1"/>
    <col min="1660" max="1660" width="11.21875" bestFit="1" customWidth="1"/>
    <col min="1661" max="1661" width="8.5546875" bestFit="1" customWidth="1"/>
    <col min="1662" max="1662" width="11.21875" bestFit="1" customWidth="1"/>
    <col min="1663" max="1663" width="9.5546875" bestFit="1" customWidth="1"/>
    <col min="1664" max="1664" width="12.21875" bestFit="1" customWidth="1"/>
    <col min="1665" max="1665" width="8.5546875" bestFit="1" customWidth="1"/>
    <col min="1666" max="1666" width="11.21875" bestFit="1" customWidth="1"/>
    <col min="1667" max="1667" width="8.5546875" bestFit="1" customWidth="1"/>
    <col min="1668" max="1668" width="11.21875" bestFit="1" customWidth="1"/>
    <col min="1669" max="1669" width="8.5546875" bestFit="1" customWidth="1"/>
    <col min="1670" max="1670" width="11.21875" bestFit="1" customWidth="1"/>
    <col min="1671" max="1671" width="9.5546875" bestFit="1" customWidth="1"/>
    <col min="1672" max="1672" width="12.21875" bestFit="1" customWidth="1"/>
    <col min="1673" max="1673" width="9.5546875" bestFit="1" customWidth="1"/>
    <col min="1674" max="1674" width="12.21875" bestFit="1" customWidth="1"/>
    <col min="1675" max="1675" width="8.5546875" bestFit="1" customWidth="1"/>
    <col min="1676" max="1676" width="11.21875" bestFit="1" customWidth="1"/>
    <col min="1677" max="1677" width="8.5546875" bestFit="1" customWidth="1"/>
    <col min="1678" max="1678" width="11.21875" bestFit="1" customWidth="1"/>
    <col min="1679" max="1679" width="9.5546875" bestFit="1" customWidth="1"/>
    <col min="1680" max="1680" width="12.21875" bestFit="1" customWidth="1"/>
    <col min="1681" max="1681" width="9.5546875" bestFit="1" customWidth="1"/>
    <col min="1682" max="1682" width="12.21875" bestFit="1" customWidth="1"/>
    <col min="1683" max="1683" width="9.5546875" bestFit="1" customWidth="1"/>
    <col min="1684" max="1684" width="12.21875" bestFit="1" customWidth="1"/>
    <col min="1685" max="1685" width="8.5546875" bestFit="1" customWidth="1"/>
    <col min="1686" max="1686" width="11.21875" bestFit="1" customWidth="1"/>
    <col min="1687" max="1687" width="9.5546875" bestFit="1" customWidth="1"/>
    <col min="1688" max="1688" width="12.21875" bestFit="1" customWidth="1"/>
    <col min="1689" max="1689" width="8.5546875" bestFit="1" customWidth="1"/>
    <col min="1690" max="1690" width="11.21875" bestFit="1" customWidth="1"/>
    <col min="1691" max="1691" width="9.5546875" bestFit="1" customWidth="1"/>
    <col min="1692" max="1692" width="12.21875" bestFit="1" customWidth="1"/>
    <col min="1693" max="1693" width="9.5546875" bestFit="1" customWidth="1"/>
    <col min="1694" max="1694" width="12.21875" bestFit="1" customWidth="1"/>
    <col min="1695" max="1695" width="9.5546875" bestFit="1" customWidth="1"/>
    <col min="1696" max="1696" width="12.21875" bestFit="1" customWidth="1"/>
    <col min="1697" max="1697" width="9.5546875" bestFit="1" customWidth="1"/>
    <col min="1698" max="1698" width="12.21875" bestFit="1" customWidth="1"/>
    <col min="1699" max="1699" width="9.5546875" bestFit="1" customWidth="1"/>
    <col min="1700" max="1700" width="12.21875" bestFit="1" customWidth="1"/>
    <col min="1701" max="1701" width="9.5546875" bestFit="1" customWidth="1"/>
    <col min="1702" max="1702" width="12.21875" bestFit="1" customWidth="1"/>
    <col min="1703" max="1703" width="9.5546875" bestFit="1" customWidth="1"/>
    <col min="1704" max="1704" width="12.21875" bestFit="1" customWidth="1"/>
    <col min="1705" max="1705" width="8.5546875" bestFit="1" customWidth="1"/>
    <col min="1706" max="1706" width="11.21875" bestFit="1" customWidth="1"/>
    <col min="1707" max="1707" width="9.5546875" bestFit="1" customWidth="1"/>
    <col min="1708" max="1708" width="12.21875" bestFit="1" customWidth="1"/>
    <col min="1709" max="1709" width="9.5546875" bestFit="1" customWidth="1"/>
    <col min="1710" max="1710" width="12.21875" bestFit="1" customWidth="1"/>
    <col min="1711" max="1711" width="9.5546875" bestFit="1" customWidth="1"/>
    <col min="1712" max="1712" width="12.21875" bestFit="1" customWidth="1"/>
    <col min="1713" max="1713" width="9.5546875" bestFit="1" customWidth="1"/>
    <col min="1714" max="1714" width="12.21875" bestFit="1" customWidth="1"/>
    <col min="1715" max="1715" width="9.5546875" bestFit="1" customWidth="1"/>
    <col min="1716" max="1716" width="12.21875" bestFit="1" customWidth="1"/>
    <col min="1717" max="1717" width="9.5546875" bestFit="1" customWidth="1"/>
    <col min="1718" max="1718" width="12.21875" bestFit="1" customWidth="1"/>
    <col min="1719" max="1719" width="7" bestFit="1" customWidth="1"/>
    <col min="1720" max="1720" width="9.6640625" bestFit="1" customWidth="1"/>
    <col min="1721" max="1721" width="9.5546875" bestFit="1" customWidth="1"/>
    <col min="1722" max="1722" width="12.21875" bestFit="1" customWidth="1"/>
    <col min="1723" max="1723" width="9.5546875" bestFit="1" customWidth="1"/>
    <col min="1724" max="1724" width="12.21875" bestFit="1" customWidth="1"/>
    <col min="1725" max="1725" width="9.5546875" bestFit="1" customWidth="1"/>
    <col min="1726" max="1726" width="12.21875" bestFit="1" customWidth="1"/>
    <col min="1727" max="1727" width="8.5546875" bestFit="1" customWidth="1"/>
    <col min="1728" max="1728" width="11.21875" bestFit="1" customWidth="1"/>
    <col min="1729" max="1729" width="9.5546875" bestFit="1" customWidth="1"/>
    <col min="1730" max="1730" width="12.21875" bestFit="1" customWidth="1"/>
    <col min="1731" max="1731" width="9.5546875" bestFit="1" customWidth="1"/>
    <col min="1732" max="1732" width="12.21875" bestFit="1" customWidth="1"/>
    <col min="1733" max="1733" width="8.5546875" bestFit="1" customWidth="1"/>
    <col min="1734" max="1734" width="11.21875" bestFit="1" customWidth="1"/>
    <col min="1735" max="1735" width="9.5546875" bestFit="1" customWidth="1"/>
    <col min="1736" max="1736" width="12.21875" bestFit="1" customWidth="1"/>
    <col min="1737" max="1737" width="9.5546875" bestFit="1" customWidth="1"/>
    <col min="1738" max="1738" width="12.21875" bestFit="1" customWidth="1"/>
    <col min="1739" max="1739" width="9.5546875" bestFit="1" customWidth="1"/>
    <col min="1740" max="1740" width="12.21875" bestFit="1" customWidth="1"/>
    <col min="1741" max="1741" width="9.5546875" bestFit="1" customWidth="1"/>
    <col min="1742" max="1742" width="12.21875" bestFit="1" customWidth="1"/>
    <col min="1743" max="1743" width="9.5546875" bestFit="1" customWidth="1"/>
    <col min="1744" max="1744" width="12.21875" bestFit="1" customWidth="1"/>
    <col min="1745" max="1745" width="9.5546875" bestFit="1" customWidth="1"/>
    <col min="1746" max="1746" width="12.21875" bestFit="1" customWidth="1"/>
    <col min="1747" max="1747" width="9.5546875" bestFit="1" customWidth="1"/>
    <col min="1748" max="1748" width="12.21875" bestFit="1" customWidth="1"/>
    <col min="1749" max="1749" width="9.5546875" bestFit="1" customWidth="1"/>
    <col min="1750" max="1750" width="12.21875" bestFit="1" customWidth="1"/>
    <col min="1751" max="1751" width="9.5546875" bestFit="1" customWidth="1"/>
    <col min="1752" max="1752" width="12.21875" bestFit="1" customWidth="1"/>
    <col min="1753" max="1753" width="9.5546875" bestFit="1" customWidth="1"/>
    <col min="1754" max="1754" width="12.21875" bestFit="1" customWidth="1"/>
    <col min="1755" max="1755" width="8.5546875" bestFit="1" customWidth="1"/>
    <col min="1756" max="1756" width="11.21875" bestFit="1" customWidth="1"/>
    <col min="1757" max="1757" width="9.5546875" bestFit="1" customWidth="1"/>
    <col min="1758" max="1758" width="12.21875" bestFit="1" customWidth="1"/>
    <col min="1759" max="1759" width="9.5546875" bestFit="1" customWidth="1"/>
    <col min="1760" max="1760" width="12.21875" bestFit="1" customWidth="1"/>
    <col min="1761" max="1761" width="9.5546875" bestFit="1" customWidth="1"/>
    <col min="1762" max="1762" width="12.21875" bestFit="1" customWidth="1"/>
    <col min="1763" max="1763" width="9.5546875" bestFit="1" customWidth="1"/>
    <col min="1764" max="1764" width="12.21875" bestFit="1" customWidth="1"/>
    <col min="1765" max="1765" width="9.5546875" bestFit="1" customWidth="1"/>
    <col min="1766" max="1766" width="12.21875" bestFit="1" customWidth="1"/>
    <col min="1767" max="1767" width="9.5546875" bestFit="1" customWidth="1"/>
    <col min="1768" max="1768" width="12.21875" bestFit="1" customWidth="1"/>
    <col min="1769" max="1769" width="9.5546875" bestFit="1" customWidth="1"/>
    <col min="1770" max="1770" width="12.21875" bestFit="1" customWidth="1"/>
    <col min="1771" max="1771" width="9.5546875" bestFit="1" customWidth="1"/>
    <col min="1772" max="1772" width="12.21875" bestFit="1" customWidth="1"/>
    <col min="1773" max="1773" width="9.5546875" bestFit="1" customWidth="1"/>
    <col min="1774" max="1774" width="12.21875" bestFit="1" customWidth="1"/>
    <col min="1775" max="1775" width="9.5546875" bestFit="1" customWidth="1"/>
    <col min="1776" max="1776" width="12.21875" bestFit="1" customWidth="1"/>
    <col min="1777" max="1777" width="8.5546875" bestFit="1" customWidth="1"/>
    <col min="1778" max="1778" width="11.21875" bestFit="1" customWidth="1"/>
    <col min="1779" max="1779" width="8.5546875" bestFit="1" customWidth="1"/>
    <col min="1780" max="1780" width="11.21875" bestFit="1" customWidth="1"/>
    <col min="1781" max="1781" width="8.5546875" bestFit="1" customWidth="1"/>
    <col min="1782" max="1782" width="11.21875" bestFit="1" customWidth="1"/>
    <col min="1783" max="1783" width="9.5546875" bestFit="1" customWidth="1"/>
    <col min="1784" max="1784" width="12.21875" bestFit="1" customWidth="1"/>
    <col min="1785" max="1785" width="9.5546875" bestFit="1" customWidth="1"/>
    <col min="1786" max="1786" width="12.21875" bestFit="1" customWidth="1"/>
    <col min="1787" max="1787" width="9.5546875" bestFit="1" customWidth="1"/>
    <col min="1788" max="1788" width="12.21875" bestFit="1" customWidth="1"/>
    <col min="1789" max="1789" width="9.5546875" bestFit="1" customWidth="1"/>
    <col min="1790" max="1790" width="12.21875" bestFit="1" customWidth="1"/>
    <col min="1791" max="1791" width="8.5546875" bestFit="1" customWidth="1"/>
    <col min="1792" max="1792" width="11.21875" bestFit="1" customWidth="1"/>
    <col min="1793" max="1793" width="8.5546875" bestFit="1" customWidth="1"/>
    <col min="1794" max="1794" width="11.21875" bestFit="1" customWidth="1"/>
    <col min="1795" max="1795" width="9.5546875" bestFit="1" customWidth="1"/>
    <col min="1796" max="1796" width="12.21875" bestFit="1" customWidth="1"/>
    <col min="1797" max="1797" width="9.5546875" bestFit="1" customWidth="1"/>
    <col min="1798" max="1798" width="12.21875" bestFit="1" customWidth="1"/>
    <col min="1799" max="1799" width="7" bestFit="1" customWidth="1"/>
    <col min="1800" max="1800" width="9.6640625" bestFit="1" customWidth="1"/>
    <col min="1801" max="1801" width="9.5546875" bestFit="1" customWidth="1"/>
    <col min="1802" max="1802" width="12.21875" bestFit="1" customWidth="1"/>
    <col min="1803" max="1803" width="9.5546875" bestFit="1" customWidth="1"/>
    <col min="1804" max="1804" width="12.21875" bestFit="1" customWidth="1"/>
    <col min="1805" max="1805" width="9.5546875" bestFit="1" customWidth="1"/>
    <col min="1806" max="1806" width="12.21875" bestFit="1" customWidth="1"/>
    <col min="1807" max="1807" width="9.5546875" bestFit="1" customWidth="1"/>
    <col min="1808" max="1808" width="12.21875" bestFit="1" customWidth="1"/>
    <col min="1809" max="1809" width="9.5546875" bestFit="1" customWidth="1"/>
    <col min="1810" max="1810" width="12.21875" bestFit="1" customWidth="1"/>
    <col min="1811" max="1811" width="9.5546875" bestFit="1" customWidth="1"/>
    <col min="1812" max="1812" width="12.21875" bestFit="1" customWidth="1"/>
    <col min="1813" max="1813" width="9.5546875" bestFit="1" customWidth="1"/>
    <col min="1814" max="1814" width="12.21875" bestFit="1" customWidth="1"/>
    <col min="1815" max="1815" width="9.5546875" bestFit="1" customWidth="1"/>
    <col min="1816" max="1816" width="12.21875" bestFit="1" customWidth="1"/>
    <col min="1817" max="1817" width="9.5546875" bestFit="1" customWidth="1"/>
    <col min="1818" max="1818" width="12.21875" bestFit="1" customWidth="1"/>
    <col min="1819" max="1819" width="9.5546875" bestFit="1" customWidth="1"/>
    <col min="1820" max="1820" width="12.21875" bestFit="1" customWidth="1"/>
    <col min="1821" max="1821" width="9.5546875" bestFit="1" customWidth="1"/>
    <col min="1822" max="1822" width="12.21875" bestFit="1" customWidth="1"/>
    <col min="1823" max="1823" width="9.5546875" bestFit="1" customWidth="1"/>
    <col min="1824" max="1824" width="12.21875" bestFit="1" customWidth="1"/>
    <col min="1825" max="1825" width="9.5546875" bestFit="1" customWidth="1"/>
    <col min="1826" max="1826" width="12.21875" bestFit="1" customWidth="1"/>
    <col min="1827" max="1827" width="8.5546875" bestFit="1" customWidth="1"/>
    <col min="1828" max="1828" width="11.21875" bestFit="1" customWidth="1"/>
    <col min="1829" max="1829" width="9.5546875" bestFit="1" customWidth="1"/>
    <col min="1830" max="1830" width="12.21875" bestFit="1" customWidth="1"/>
    <col min="1831" max="1831" width="9.5546875" bestFit="1" customWidth="1"/>
    <col min="1832" max="1832" width="12.21875" bestFit="1" customWidth="1"/>
    <col min="1833" max="1833" width="8.5546875" bestFit="1" customWidth="1"/>
    <col min="1834" max="1834" width="11.21875" bestFit="1" customWidth="1"/>
    <col min="1835" max="1835" width="9.5546875" bestFit="1" customWidth="1"/>
    <col min="1836" max="1836" width="12.21875" bestFit="1" customWidth="1"/>
    <col min="1837" max="1837" width="9.5546875" bestFit="1" customWidth="1"/>
    <col min="1838" max="1838" width="12.21875" bestFit="1" customWidth="1"/>
    <col min="1839" max="1839" width="9.5546875" bestFit="1" customWidth="1"/>
    <col min="1840" max="1840" width="12.21875" bestFit="1" customWidth="1"/>
    <col min="1841" max="1841" width="9.5546875" bestFit="1" customWidth="1"/>
    <col min="1842" max="1842" width="12.21875" bestFit="1" customWidth="1"/>
    <col min="1843" max="1843" width="9.5546875" bestFit="1" customWidth="1"/>
    <col min="1844" max="1844" width="12.21875" bestFit="1" customWidth="1"/>
    <col min="1845" max="1845" width="9.5546875" bestFit="1" customWidth="1"/>
    <col min="1846" max="1846" width="12.21875" bestFit="1" customWidth="1"/>
    <col min="1847" max="1847" width="8.5546875" bestFit="1" customWidth="1"/>
    <col min="1848" max="1848" width="11.21875" bestFit="1" customWidth="1"/>
    <col min="1849" max="1849" width="9.5546875" bestFit="1" customWidth="1"/>
    <col min="1850" max="1850" width="12.21875" bestFit="1" customWidth="1"/>
    <col min="1851" max="1851" width="9.5546875" bestFit="1" customWidth="1"/>
    <col min="1852" max="1852" width="12.21875" bestFit="1" customWidth="1"/>
    <col min="1853" max="1853" width="9.5546875" bestFit="1" customWidth="1"/>
    <col min="1854" max="1854" width="12.21875" bestFit="1" customWidth="1"/>
    <col min="1855" max="1855" width="9.5546875" bestFit="1" customWidth="1"/>
    <col min="1856" max="1856" width="12.21875" bestFit="1" customWidth="1"/>
    <col min="1857" max="1857" width="8.5546875" bestFit="1" customWidth="1"/>
    <col min="1858" max="1858" width="11.21875" bestFit="1" customWidth="1"/>
    <col min="1859" max="1859" width="9.5546875" bestFit="1" customWidth="1"/>
    <col min="1860" max="1860" width="12.21875" bestFit="1" customWidth="1"/>
    <col min="1861" max="1861" width="9.5546875" bestFit="1" customWidth="1"/>
    <col min="1862" max="1862" width="12.21875" bestFit="1" customWidth="1"/>
    <col min="1863" max="1863" width="9.5546875" bestFit="1" customWidth="1"/>
    <col min="1864" max="1864" width="12.21875" bestFit="1" customWidth="1"/>
    <col min="1865" max="1865" width="8.5546875" bestFit="1" customWidth="1"/>
    <col min="1866" max="1866" width="11.21875" bestFit="1" customWidth="1"/>
    <col min="1867" max="1867" width="9.5546875" bestFit="1" customWidth="1"/>
    <col min="1868" max="1868" width="12.21875" bestFit="1" customWidth="1"/>
    <col min="1869" max="1869" width="9.5546875" bestFit="1" customWidth="1"/>
    <col min="1870" max="1870" width="12.21875" bestFit="1" customWidth="1"/>
    <col min="1871" max="1871" width="8.5546875" bestFit="1" customWidth="1"/>
    <col min="1872" max="1872" width="11.21875" bestFit="1" customWidth="1"/>
    <col min="1873" max="1873" width="9.5546875" bestFit="1" customWidth="1"/>
    <col min="1874" max="1874" width="12.21875" bestFit="1" customWidth="1"/>
    <col min="1875" max="1875" width="8.5546875" bestFit="1" customWidth="1"/>
    <col min="1876" max="1876" width="11.21875" bestFit="1" customWidth="1"/>
    <col min="1877" max="1877" width="9.5546875" bestFit="1" customWidth="1"/>
    <col min="1878" max="1878" width="12.21875" bestFit="1" customWidth="1"/>
    <col min="1879" max="1879" width="9.5546875" bestFit="1" customWidth="1"/>
    <col min="1880" max="1880" width="12.21875" bestFit="1" customWidth="1"/>
    <col min="1881" max="1881" width="9.5546875" bestFit="1" customWidth="1"/>
    <col min="1882" max="1882" width="12.21875" bestFit="1" customWidth="1"/>
    <col min="1883" max="1883" width="9.5546875" bestFit="1" customWidth="1"/>
    <col min="1884" max="1884" width="12.21875" bestFit="1" customWidth="1"/>
    <col min="1885" max="1885" width="9.5546875" bestFit="1" customWidth="1"/>
    <col min="1886" max="1886" width="12.21875" bestFit="1" customWidth="1"/>
    <col min="1887" max="1887" width="9.5546875" bestFit="1" customWidth="1"/>
    <col min="1888" max="1888" width="12.21875" bestFit="1" customWidth="1"/>
    <col min="1889" max="1889" width="8.5546875" bestFit="1" customWidth="1"/>
    <col min="1890" max="1890" width="11.21875" bestFit="1" customWidth="1"/>
    <col min="1891" max="1891" width="9.5546875" bestFit="1" customWidth="1"/>
    <col min="1892" max="1892" width="12.21875" bestFit="1" customWidth="1"/>
    <col min="1893" max="1893" width="9.5546875" bestFit="1" customWidth="1"/>
    <col min="1894" max="1894" width="12.21875" bestFit="1" customWidth="1"/>
    <col min="1895" max="1895" width="9.5546875" bestFit="1" customWidth="1"/>
    <col min="1896" max="1896" width="12.21875" bestFit="1" customWidth="1"/>
    <col min="1897" max="1897" width="8.5546875" bestFit="1" customWidth="1"/>
    <col min="1898" max="1898" width="11.21875" bestFit="1" customWidth="1"/>
    <col min="1899" max="1899" width="8.5546875" bestFit="1" customWidth="1"/>
    <col min="1900" max="1900" width="11.21875" bestFit="1" customWidth="1"/>
    <col min="1901" max="1901" width="9.5546875" bestFit="1" customWidth="1"/>
    <col min="1902" max="1902" width="12.21875" bestFit="1" customWidth="1"/>
    <col min="1903" max="1903" width="9.5546875" bestFit="1" customWidth="1"/>
    <col min="1904" max="1904" width="12.21875" bestFit="1" customWidth="1"/>
    <col min="1905" max="1905" width="9.5546875" bestFit="1" customWidth="1"/>
    <col min="1906" max="1906" width="12.21875" bestFit="1" customWidth="1"/>
    <col min="1907" max="1907" width="9.5546875" bestFit="1" customWidth="1"/>
    <col min="1908" max="1908" width="12.21875" bestFit="1" customWidth="1"/>
    <col min="1909" max="1909" width="9.5546875" bestFit="1" customWidth="1"/>
    <col min="1910" max="1910" width="12.21875" bestFit="1" customWidth="1"/>
    <col min="1911" max="1911" width="9.5546875" bestFit="1" customWidth="1"/>
    <col min="1912" max="1912" width="12.21875" bestFit="1" customWidth="1"/>
    <col min="1913" max="1913" width="9.5546875" bestFit="1" customWidth="1"/>
    <col min="1914" max="1914" width="12.21875" bestFit="1" customWidth="1"/>
    <col min="1915" max="1915" width="8.5546875" bestFit="1" customWidth="1"/>
    <col min="1916" max="1916" width="11.21875" bestFit="1" customWidth="1"/>
    <col min="1917" max="1917" width="9.5546875" bestFit="1" customWidth="1"/>
    <col min="1918" max="1918" width="12.21875" bestFit="1" customWidth="1"/>
    <col min="1919" max="1919" width="9.5546875" bestFit="1" customWidth="1"/>
    <col min="1920" max="1920" width="12.21875" bestFit="1" customWidth="1"/>
    <col min="1921" max="1921" width="9.5546875" bestFit="1" customWidth="1"/>
    <col min="1922" max="1922" width="12.21875" bestFit="1" customWidth="1"/>
    <col min="1923" max="1923" width="7" bestFit="1" customWidth="1"/>
    <col min="1924" max="1924" width="9.6640625" bestFit="1" customWidth="1"/>
    <col min="1925" max="1925" width="8.5546875" bestFit="1" customWidth="1"/>
    <col min="1926" max="1926" width="11.21875" bestFit="1" customWidth="1"/>
    <col min="1927" max="1927" width="9.5546875" bestFit="1" customWidth="1"/>
    <col min="1928" max="1928" width="12.21875" bestFit="1" customWidth="1"/>
    <col min="1929" max="1929" width="9.5546875" bestFit="1" customWidth="1"/>
    <col min="1930" max="1930" width="12.21875" bestFit="1" customWidth="1"/>
    <col min="1931" max="1931" width="9.5546875" bestFit="1" customWidth="1"/>
    <col min="1932" max="1932" width="12.21875" bestFit="1" customWidth="1"/>
    <col min="1933" max="1933" width="8.5546875" bestFit="1" customWidth="1"/>
    <col min="1934" max="1934" width="11.21875" bestFit="1" customWidth="1"/>
    <col min="1935" max="1935" width="9.5546875" bestFit="1" customWidth="1"/>
    <col min="1936" max="1936" width="12.21875" bestFit="1" customWidth="1"/>
    <col min="1937" max="1937" width="8.5546875" bestFit="1" customWidth="1"/>
    <col min="1938" max="1938" width="11.21875" bestFit="1" customWidth="1"/>
    <col min="1939" max="1939" width="8.5546875" bestFit="1" customWidth="1"/>
    <col min="1940" max="1940" width="11.21875" bestFit="1" customWidth="1"/>
    <col min="1941" max="1941" width="9.5546875" bestFit="1" customWidth="1"/>
    <col min="1942" max="1942" width="12.21875" bestFit="1" customWidth="1"/>
    <col min="1943" max="1943" width="9.5546875" bestFit="1" customWidth="1"/>
    <col min="1944" max="1944" width="12.21875" bestFit="1" customWidth="1"/>
    <col min="1945" max="1945" width="9.5546875" bestFit="1" customWidth="1"/>
    <col min="1946" max="1946" width="12.21875" bestFit="1" customWidth="1"/>
    <col min="1947" max="1947" width="9.5546875" bestFit="1" customWidth="1"/>
    <col min="1948" max="1948" width="12.21875" bestFit="1" customWidth="1"/>
    <col min="1949" max="1949" width="9.5546875" bestFit="1" customWidth="1"/>
    <col min="1950" max="1950" width="12.21875" bestFit="1" customWidth="1"/>
    <col min="1951" max="1951" width="9.5546875" bestFit="1" customWidth="1"/>
    <col min="1952" max="1952" width="12.21875" bestFit="1" customWidth="1"/>
    <col min="1953" max="1953" width="9.5546875" bestFit="1" customWidth="1"/>
    <col min="1954" max="1954" width="12.21875" bestFit="1" customWidth="1"/>
    <col min="1955" max="1955" width="9.5546875" bestFit="1" customWidth="1"/>
    <col min="1956" max="1956" width="12.21875" bestFit="1" customWidth="1"/>
    <col min="1957" max="1957" width="8.5546875" bestFit="1" customWidth="1"/>
    <col min="1958" max="1958" width="11.21875" bestFit="1" customWidth="1"/>
    <col min="1959" max="1959" width="9.5546875" bestFit="1" customWidth="1"/>
    <col min="1960" max="1960" width="12.21875" bestFit="1" customWidth="1"/>
    <col min="1961" max="1961" width="8.5546875" bestFit="1" customWidth="1"/>
    <col min="1962" max="1962" width="11.21875" bestFit="1" customWidth="1"/>
    <col min="1963" max="1963" width="9.5546875" bestFit="1" customWidth="1"/>
    <col min="1964" max="1964" width="12.21875" bestFit="1" customWidth="1"/>
    <col min="1965" max="1965" width="9.5546875" bestFit="1" customWidth="1"/>
    <col min="1966" max="1966" width="12.21875" bestFit="1" customWidth="1"/>
    <col min="1967" max="1967" width="9.5546875" bestFit="1" customWidth="1"/>
    <col min="1968" max="1968" width="12.21875" bestFit="1" customWidth="1"/>
    <col min="1969" max="1969" width="9.5546875" bestFit="1" customWidth="1"/>
    <col min="1970" max="1970" width="12.21875" bestFit="1" customWidth="1"/>
    <col min="1971" max="1971" width="9.5546875" bestFit="1" customWidth="1"/>
    <col min="1972" max="1972" width="12.21875" bestFit="1" customWidth="1"/>
    <col min="1973" max="1973" width="9.5546875" bestFit="1" customWidth="1"/>
    <col min="1974" max="1974" width="12.21875" bestFit="1" customWidth="1"/>
    <col min="1975" max="1975" width="9.5546875" bestFit="1" customWidth="1"/>
    <col min="1976" max="1976" width="12.21875" bestFit="1" customWidth="1"/>
    <col min="1977" max="1977" width="9.5546875" bestFit="1" customWidth="1"/>
    <col min="1978" max="1978" width="12.21875" bestFit="1" customWidth="1"/>
    <col min="1979" max="1979" width="9.5546875" bestFit="1" customWidth="1"/>
    <col min="1980" max="1980" width="12.21875" bestFit="1" customWidth="1"/>
    <col min="1981" max="1981" width="8.5546875" bestFit="1" customWidth="1"/>
    <col min="1982" max="1982" width="11.21875" bestFit="1" customWidth="1"/>
    <col min="1983" max="1983" width="8.5546875" bestFit="1" customWidth="1"/>
    <col min="1984" max="1984" width="11.21875" bestFit="1" customWidth="1"/>
    <col min="1985" max="1985" width="9.5546875" bestFit="1" customWidth="1"/>
    <col min="1986" max="1986" width="12.21875" bestFit="1" customWidth="1"/>
    <col min="1987" max="1987" width="9.5546875" bestFit="1" customWidth="1"/>
    <col min="1988" max="1988" width="12.21875" bestFit="1" customWidth="1"/>
    <col min="1989" max="1989" width="9.5546875" bestFit="1" customWidth="1"/>
    <col min="1990" max="1990" width="12.21875" bestFit="1" customWidth="1"/>
    <col min="1991" max="1991" width="8.5546875" bestFit="1" customWidth="1"/>
    <col min="1992" max="1992" width="11.21875" bestFit="1" customWidth="1"/>
    <col min="1993" max="1993" width="9.5546875" bestFit="1" customWidth="1"/>
    <col min="1994" max="1994" width="12.21875" bestFit="1" customWidth="1"/>
    <col min="1995" max="1995" width="9.5546875" bestFit="1" customWidth="1"/>
    <col min="1996" max="1996" width="12.21875" bestFit="1" customWidth="1"/>
    <col min="1997" max="1997" width="8.5546875" bestFit="1" customWidth="1"/>
    <col min="1998" max="1998" width="11.21875" bestFit="1" customWidth="1"/>
    <col min="1999" max="1999" width="8.5546875" bestFit="1" customWidth="1"/>
    <col min="2000" max="2000" width="11.21875" bestFit="1" customWidth="1"/>
    <col min="2001" max="2001" width="9.5546875" bestFit="1" customWidth="1"/>
    <col min="2002" max="2002" width="12.21875" bestFit="1" customWidth="1"/>
    <col min="2003" max="2003" width="9.5546875" bestFit="1" customWidth="1"/>
    <col min="2004" max="2004" width="12.21875" bestFit="1" customWidth="1"/>
    <col min="2005" max="2005" width="8.5546875" bestFit="1" customWidth="1"/>
    <col min="2006" max="2006" width="11.21875" bestFit="1" customWidth="1"/>
    <col min="2007" max="2007" width="9.5546875" bestFit="1" customWidth="1"/>
    <col min="2008" max="2008" width="12.21875" bestFit="1" customWidth="1"/>
    <col min="2009" max="2009" width="9.5546875" bestFit="1" customWidth="1"/>
    <col min="2010" max="2010" width="12.21875" bestFit="1" customWidth="1"/>
    <col min="2011" max="2011" width="9.5546875" bestFit="1" customWidth="1"/>
    <col min="2012" max="2012" width="12.21875" bestFit="1" customWidth="1"/>
    <col min="2013" max="2013" width="9.5546875" bestFit="1" customWidth="1"/>
    <col min="2014" max="2014" width="12.21875" bestFit="1" customWidth="1"/>
    <col min="2015" max="2015" width="9.5546875" bestFit="1" customWidth="1"/>
    <col min="2016" max="2016" width="12.21875" bestFit="1" customWidth="1"/>
    <col min="2017" max="2017" width="9.5546875" bestFit="1" customWidth="1"/>
    <col min="2018" max="2018" width="12.21875" bestFit="1" customWidth="1"/>
    <col min="2019" max="2019" width="9.5546875" bestFit="1" customWidth="1"/>
    <col min="2020" max="2020" width="12.21875" bestFit="1" customWidth="1"/>
    <col min="2021" max="2021" width="7.88671875" bestFit="1" customWidth="1"/>
    <col min="2022" max="2022" width="9.6640625" bestFit="1" customWidth="1"/>
    <col min="2023" max="2023" width="8.5546875" bestFit="1" customWidth="1"/>
    <col min="2024" max="2024" width="11.21875" bestFit="1" customWidth="1"/>
    <col min="2025" max="2025" width="9.5546875" bestFit="1" customWidth="1"/>
    <col min="2026" max="2026" width="12.21875" bestFit="1" customWidth="1"/>
    <col min="2027" max="2027" width="9.5546875" bestFit="1" customWidth="1"/>
    <col min="2028" max="2028" width="12.21875" bestFit="1" customWidth="1"/>
    <col min="2029" max="2029" width="9.5546875" bestFit="1" customWidth="1"/>
    <col min="2030" max="2030" width="12.21875" bestFit="1" customWidth="1"/>
    <col min="2031" max="2031" width="9.5546875" bestFit="1" customWidth="1"/>
    <col min="2032" max="2032" width="12.21875" bestFit="1" customWidth="1"/>
    <col min="2033" max="2033" width="9.5546875" bestFit="1" customWidth="1"/>
    <col min="2034" max="2034" width="12.21875" bestFit="1" customWidth="1"/>
    <col min="2035" max="2035" width="9.5546875" bestFit="1" customWidth="1"/>
    <col min="2036" max="2036" width="12.21875" bestFit="1" customWidth="1"/>
    <col min="2037" max="2037" width="9.5546875" bestFit="1" customWidth="1"/>
    <col min="2038" max="2038" width="12.21875" bestFit="1" customWidth="1"/>
    <col min="2039" max="2039" width="9.5546875" bestFit="1" customWidth="1"/>
    <col min="2040" max="2040" width="12.21875" bestFit="1" customWidth="1"/>
    <col min="2041" max="2041" width="9.5546875" bestFit="1" customWidth="1"/>
    <col min="2042" max="2042" width="12.21875" bestFit="1" customWidth="1"/>
    <col min="2043" max="2043" width="9.5546875" bestFit="1" customWidth="1"/>
    <col min="2044" max="2044" width="12.21875" bestFit="1" customWidth="1"/>
    <col min="2045" max="2045" width="9.5546875" bestFit="1" customWidth="1"/>
    <col min="2046" max="2046" width="12.21875" bestFit="1" customWidth="1"/>
    <col min="2047" max="2047" width="9.5546875" bestFit="1" customWidth="1"/>
    <col min="2048" max="2048" width="12.21875" bestFit="1" customWidth="1"/>
    <col min="2049" max="2049" width="9.5546875" bestFit="1" customWidth="1"/>
    <col min="2050" max="2050" width="12.21875" bestFit="1" customWidth="1"/>
    <col min="2051" max="2051" width="9.5546875" bestFit="1" customWidth="1"/>
    <col min="2052" max="2052" width="12.21875" bestFit="1" customWidth="1"/>
    <col min="2053" max="2053" width="8.5546875" bestFit="1" customWidth="1"/>
    <col min="2054" max="2054" width="11.21875" bestFit="1" customWidth="1"/>
    <col min="2055" max="2055" width="9.5546875" bestFit="1" customWidth="1"/>
    <col min="2056" max="2056" width="12.21875" bestFit="1" customWidth="1"/>
    <col min="2057" max="2057" width="9.5546875" bestFit="1" customWidth="1"/>
    <col min="2058" max="2058" width="12.21875" bestFit="1" customWidth="1"/>
    <col min="2059" max="2059" width="7" bestFit="1" customWidth="1"/>
    <col min="2060" max="2060" width="9.6640625" bestFit="1" customWidth="1"/>
    <col min="2061" max="2061" width="9.5546875" bestFit="1" customWidth="1"/>
    <col min="2062" max="2062" width="12.21875" bestFit="1" customWidth="1"/>
    <col min="2063" max="2063" width="9.5546875" bestFit="1" customWidth="1"/>
    <col min="2064" max="2064" width="12.21875" bestFit="1" customWidth="1"/>
    <col min="2065" max="2065" width="9.5546875" bestFit="1" customWidth="1"/>
    <col min="2066" max="2066" width="12.21875" bestFit="1" customWidth="1"/>
    <col min="2067" max="2067" width="8.5546875" bestFit="1" customWidth="1"/>
    <col min="2068" max="2068" width="11.21875" bestFit="1" customWidth="1"/>
    <col min="2069" max="2069" width="9.5546875" bestFit="1" customWidth="1"/>
    <col min="2070" max="2070" width="12.21875" bestFit="1" customWidth="1"/>
    <col min="2071" max="2071" width="8.5546875" bestFit="1" customWidth="1"/>
    <col min="2072" max="2072" width="11.21875" bestFit="1" customWidth="1"/>
    <col min="2073" max="2073" width="9.5546875" bestFit="1" customWidth="1"/>
    <col min="2074" max="2074" width="12.21875" bestFit="1" customWidth="1"/>
    <col min="2075" max="2075" width="9.5546875" bestFit="1" customWidth="1"/>
    <col min="2076" max="2076" width="12.21875" bestFit="1" customWidth="1"/>
    <col min="2077" max="2077" width="9.5546875" bestFit="1" customWidth="1"/>
    <col min="2078" max="2078" width="12.21875" bestFit="1" customWidth="1"/>
    <col min="2079" max="2079" width="9.5546875" bestFit="1" customWidth="1"/>
    <col min="2080" max="2080" width="12.21875" bestFit="1" customWidth="1"/>
    <col min="2081" max="2081" width="8.5546875" bestFit="1" customWidth="1"/>
    <col min="2082" max="2082" width="11.21875" bestFit="1" customWidth="1"/>
    <col min="2083" max="2083" width="8.5546875" bestFit="1" customWidth="1"/>
    <col min="2084" max="2084" width="11.21875" bestFit="1" customWidth="1"/>
    <col min="2085" max="2085" width="8.5546875" bestFit="1" customWidth="1"/>
    <col min="2086" max="2086" width="11.21875" bestFit="1" customWidth="1"/>
    <col min="2087" max="2087" width="8.5546875" bestFit="1" customWidth="1"/>
    <col min="2088" max="2088" width="11.21875" bestFit="1" customWidth="1"/>
    <col min="2089" max="2089" width="9.5546875" bestFit="1" customWidth="1"/>
    <col min="2090" max="2090" width="12.21875" bestFit="1" customWidth="1"/>
    <col min="2091" max="2091" width="9.5546875" bestFit="1" customWidth="1"/>
    <col min="2092" max="2092" width="12.21875" bestFit="1" customWidth="1"/>
    <col min="2093" max="2093" width="9.5546875" bestFit="1" customWidth="1"/>
    <col min="2094" max="2094" width="12.21875" bestFit="1" customWidth="1"/>
    <col min="2095" max="2095" width="9.5546875" bestFit="1" customWidth="1"/>
    <col min="2096" max="2096" width="12.21875" bestFit="1" customWidth="1"/>
    <col min="2097" max="2097" width="9.5546875" bestFit="1" customWidth="1"/>
    <col min="2098" max="2098" width="12.21875" bestFit="1" customWidth="1"/>
    <col min="2099" max="2099" width="9.5546875" bestFit="1" customWidth="1"/>
    <col min="2100" max="2100" width="12.21875" bestFit="1" customWidth="1"/>
    <col min="2101" max="2101" width="8.5546875" bestFit="1" customWidth="1"/>
    <col min="2102" max="2102" width="11.21875" bestFit="1" customWidth="1"/>
    <col min="2103" max="2103" width="9.5546875" bestFit="1" customWidth="1"/>
    <col min="2104" max="2104" width="12.21875" bestFit="1" customWidth="1"/>
    <col min="2105" max="2105" width="9.5546875" bestFit="1" customWidth="1"/>
    <col min="2106" max="2106" width="12.21875" bestFit="1" customWidth="1"/>
    <col min="2107" max="2107" width="9.5546875" bestFit="1" customWidth="1"/>
    <col min="2108" max="2108" width="12.21875" bestFit="1" customWidth="1"/>
    <col min="2109" max="2109" width="9.5546875" bestFit="1" customWidth="1"/>
    <col min="2110" max="2110" width="12.21875" bestFit="1" customWidth="1"/>
    <col min="2111" max="2111" width="8.5546875" bestFit="1" customWidth="1"/>
    <col min="2112" max="2112" width="11.21875" bestFit="1" customWidth="1"/>
    <col min="2113" max="2113" width="8.5546875" bestFit="1" customWidth="1"/>
    <col min="2114" max="2114" width="11.21875" bestFit="1" customWidth="1"/>
    <col min="2115" max="2115" width="9.5546875" bestFit="1" customWidth="1"/>
    <col min="2116" max="2116" width="12.21875" bestFit="1" customWidth="1"/>
    <col min="2117" max="2117" width="9.5546875" bestFit="1" customWidth="1"/>
    <col min="2118" max="2118" width="12.21875" bestFit="1" customWidth="1"/>
    <col min="2119" max="2119" width="9.5546875" bestFit="1" customWidth="1"/>
    <col min="2120" max="2120" width="12.21875" bestFit="1" customWidth="1"/>
    <col min="2121" max="2121" width="9.5546875" bestFit="1" customWidth="1"/>
    <col min="2122" max="2122" width="12.21875" bestFit="1" customWidth="1"/>
    <col min="2123" max="2123" width="8.5546875" bestFit="1" customWidth="1"/>
    <col min="2124" max="2124" width="11.21875" bestFit="1" customWidth="1"/>
    <col min="2125" max="2125" width="8.5546875" bestFit="1" customWidth="1"/>
    <col min="2126" max="2126" width="11.21875" bestFit="1" customWidth="1"/>
    <col min="2127" max="2127" width="9.5546875" bestFit="1" customWidth="1"/>
    <col min="2128" max="2128" width="12.21875" bestFit="1" customWidth="1"/>
    <col min="2129" max="2129" width="9.5546875" bestFit="1" customWidth="1"/>
    <col min="2130" max="2130" width="12.21875" bestFit="1" customWidth="1"/>
    <col min="2131" max="2131" width="8.5546875" bestFit="1" customWidth="1"/>
    <col min="2132" max="2132" width="11.21875" bestFit="1" customWidth="1"/>
    <col min="2133" max="2133" width="9.5546875" bestFit="1" customWidth="1"/>
    <col min="2134" max="2134" width="12.21875" bestFit="1" customWidth="1"/>
    <col min="2135" max="2135" width="9.5546875" bestFit="1" customWidth="1"/>
    <col min="2136" max="2136" width="12.21875" bestFit="1" customWidth="1"/>
    <col min="2137" max="2137" width="8.5546875" bestFit="1" customWidth="1"/>
    <col min="2138" max="2138" width="11.21875" bestFit="1" customWidth="1"/>
    <col min="2139" max="2139" width="8.5546875" bestFit="1" customWidth="1"/>
    <col min="2140" max="2140" width="11.21875" bestFit="1" customWidth="1"/>
    <col min="2141" max="2141" width="9.5546875" bestFit="1" customWidth="1"/>
    <col min="2142" max="2142" width="12.21875" bestFit="1" customWidth="1"/>
    <col min="2143" max="2143" width="9.5546875" bestFit="1" customWidth="1"/>
    <col min="2144" max="2144" width="12.21875" bestFit="1" customWidth="1"/>
    <col min="2145" max="2145" width="9.5546875" bestFit="1" customWidth="1"/>
    <col min="2146" max="2146" width="12.21875" bestFit="1" customWidth="1"/>
    <col min="2147" max="2147" width="9.5546875" bestFit="1" customWidth="1"/>
    <col min="2148" max="2148" width="12.21875" bestFit="1" customWidth="1"/>
    <col min="2149" max="2149" width="9.5546875" bestFit="1" customWidth="1"/>
    <col min="2150" max="2150" width="12.21875" bestFit="1" customWidth="1"/>
    <col min="2151" max="2151" width="9.5546875" bestFit="1" customWidth="1"/>
    <col min="2152" max="2152" width="12.21875" bestFit="1" customWidth="1"/>
    <col min="2153" max="2153" width="8.5546875" bestFit="1" customWidth="1"/>
    <col min="2154" max="2154" width="11.21875" bestFit="1" customWidth="1"/>
    <col min="2155" max="2155" width="9.5546875" bestFit="1" customWidth="1"/>
    <col min="2156" max="2156" width="12.21875" bestFit="1" customWidth="1"/>
    <col min="2157" max="2157" width="8.5546875" bestFit="1" customWidth="1"/>
    <col min="2158" max="2158" width="11.21875" bestFit="1" customWidth="1"/>
    <col min="2159" max="2159" width="9.5546875" bestFit="1" customWidth="1"/>
    <col min="2160" max="2160" width="12.21875" bestFit="1" customWidth="1"/>
    <col min="2161" max="2161" width="9.5546875" bestFit="1" customWidth="1"/>
    <col min="2162" max="2162" width="12.21875" bestFit="1" customWidth="1"/>
    <col min="2163" max="2163" width="9.5546875" bestFit="1" customWidth="1"/>
    <col min="2164" max="2164" width="12.21875" bestFit="1" customWidth="1"/>
    <col min="2165" max="2165" width="8.5546875" bestFit="1" customWidth="1"/>
    <col min="2166" max="2166" width="11.21875" bestFit="1" customWidth="1"/>
    <col min="2167" max="2167" width="9.5546875" bestFit="1" customWidth="1"/>
    <col min="2168" max="2168" width="12.21875" bestFit="1" customWidth="1"/>
    <col min="2169" max="2169" width="9.5546875" bestFit="1" customWidth="1"/>
    <col min="2170" max="2170" width="12.21875" bestFit="1" customWidth="1"/>
    <col min="2171" max="2171" width="9.5546875" bestFit="1" customWidth="1"/>
    <col min="2172" max="2172" width="12.21875" bestFit="1" customWidth="1"/>
    <col min="2173" max="2173" width="9.5546875" bestFit="1" customWidth="1"/>
    <col min="2174" max="2174" width="12.21875" bestFit="1" customWidth="1"/>
    <col min="2175" max="2175" width="9.5546875" bestFit="1" customWidth="1"/>
    <col min="2176" max="2176" width="12.21875" bestFit="1" customWidth="1"/>
    <col min="2177" max="2177" width="9.5546875" bestFit="1" customWidth="1"/>
    <col min="2178" max="2178" width="12.21875" bestFit="1" customWidth="1"/>
    <col min="2179" max="2179" width="9.5546875" bestFit="1" customWidth="1"/>
    <col min="2180" max="2180" width="12.21875" bestFit="1" customWidth="1"/>
    <col min="2181" max="2181" width="9.5546875" bestFit="1" customWidth="1"/>
    <col min="2182" max="2182" width="12.21875" bestFit="1" customWidth="1"/>
    <col min="2183" max="2183" width="9.5546875" bestFit="1" customWidth="1"/>
    <col min="2184" max="2184" width="12.21875" bestFit="1" customWidth="1"/>
    <col min="2185" max="2185" width="9.5546875" bestFit="1" customWidth="1"/>
    <col min="2186" max="2186" width="12.21875" bestFit="1" customWidth="1"/>
    <col min="2187" max="2187" width="9.5546875" bestFit="1" customWidth="1"/>
    <col min="2188" max="2188" width="12.21875" bestFit="1" customWidth="1"/>
    <col min="2189" max="2189" width="9.5546875" bestFit="1" customWidth="1"/>
    <col min="2190" max="2190" width="12.21875" bestFit="1" customWidth="1"/>
    <col min="2191" max="2191" width="9.5546875" bestFit="1" customWidth="1"/>
    <col min="2192" max="2192" width="12.21875" bestFit="1" customWidth="1"/>
    <col min="2193" max="2193" width="9.5546875" bestFit="1" customWidth="1"/>
    <col min="2194" max="2194" width="12.21875" bestFit="1" customWidth="1"/>
    <col min="2195" max="2195" width="9.5546875" bestFit="1" customWidth="1"/>
    <col min="2196" max="2196" width="12.21875" bestFit="1" customWidth="1"/>
    <col min="2197" max="2197" width="8.5546875" bestFit="1" customWidth="1"/>
    <col min="2198" max="2198" width="11.21875" bestFit="1" customWidth="1"/>
    <col min="2199" max="2199" width="9.5546875" bestFit="1" customWidth="1"/>
    <col min="2200" max="2200" width="12.21875" bestFit="1" customWidth="1"/>
    <col min="2201" max="2201" width="9.5546875" bestFit="1" customWidth="1"/>
    <col min="2202" max="2202" width="12.21875" bestFit="1" customWidth="1"/>
    <col min="2203" max="2203" width="8.5546875" bestFit="1" customWidth="1"/>
    <col min="2204" max="2204" width="11.21875" bestFit="1" customWidth="1"/>
    <col min="2205" max="2205" width="9.5546875" bestFit="1" customWidth="1"/>
    <col min="2206" max="2206" width="12.21875" bestFit="1" customWidth="1"/>
    <col min="2207" max="2207" width="8.5546875" bestFit="1" customWidth="1"/>
    <col min="2208" max="2208" width="11.21875" bestFit="1" customWidth="1"/>
    <col min="2209" max="2209" width="9.5546875" bestFit="1" customWidth="1"/>
    <col min="2210" max="2210" width="12.21875" bestFit="1" customWidth="1"/>
    <col min="2211" max="2211" width="8.5546875" bestFit="1" customWidth="1"/>
    <col min="2212" max="2212" width="11.21875" bestFit="1" customWidth="1"/>
    <col min="2213" max="2213" width="9.5546875" bestFit="1" customWidth="1"/>
    <col min="2214" max="2214" width="12.21875" bestFit="1" customWidth="1"/>
    <col min="2215" max="2215" width="9.5546875" bestFit="1" customWidth="1"/>
    <col min="2216" max="2216" width="12.21875" bestFit="1" customWidth="1"/>
    <col min="2217" max="2217" width="9.5546875" bestFit="1" customWidth="1"/>
    <col min="2218" max="2218" width="12.21875" bestFit="1" customWidth="1"/>
    <col min="2219" max="2220" width="9.5546875" bestFit="1" customWidth="1"/>
    <col min="2221" max="2221" width="12.21875" bestFit="1" customWidth="1"/>
    <col min="2222" max="2222" width="9.5546875" bestFit="1" customWidth="1"/>
    <col min="2223" max="2223" width="12.21875" bestFit="1" customWidth="1"/>
    <col min="2224" max="2224" width="9.5546875" bestFit="1" customWidth="1"/>
    <col min="2225" max="2225" width="12.21875" bestFit="1" customWidth="1"/>
    <col min="2226" max="2226" width="8.5546875" bestFit="1" customWidth="1"/>
    <col min="2227" max="2227" width="11.21875" bestFit="1" customWidth="1"/>
    <col min="2228" max="2228" width="8.5546875" bestFit="1" customWidth="1"/>
    <col min="2229" max="2229" width="11.21875" bestFit="1" customWidth="1"/>
    <col min="2230" max="2230" width="9.5546875" bestFit="1" customWidth="1"/>
    <col min="2231" max="2231" width="12.21875" bestFit="1" customWidth="1"/>
    <col min="2232" max="2232" width="9.5546875" bestFit="1" customWidth="1"/>
    <col min="2233" max="2233" width="12.21875" bestFit="1" customWidth="1"/>
    <col min="2234" max="2234" width="8.5546875" bestFit="1" customWidth="1"/>
    <col min="2235" max="2235" width="11.21875" bestFit="1" customWidth="1"/>
    <col min="2236" max="2236" width="9.5546875" bestFit="1" customWidth="1"/>
    <col min="2237" max="2237" width="12.21875" bestFit="1" customWidth="1"/>
    <col min="2238" max="2238" width="9.5546875" bestFit="1" customWidth="1"/>
    <col min="2239" max="2239" width="12.21875" bestFit="1" customWidth="1"/>
    <col min="2240" max="2240" width="7.88671875" bestFit="1" customWidth="1"/>
    <col min="2241" max="2241" width="9.6640625" bestFit="1" customWidth="1"/>
    <col min="2242" max="2242" width="9.5546875" bestFit="1" customWidth="1"/>
    <col min="2243" max="2243" width="12.21875" bestFit="1" customWidth="1"/>
    <col min="2244" max="2244" width="9.5546875" bestFit="1" customWidth="1"/>
    <col min="2245" max="2245" width="12.21875" bestFit="1" customWidth="1"/>
    <col min="2246" max="2246" width="9.5546875" bestFit="1" customWidth="1"/>
    <col min="2247" max="2247" width="12.21875" bestFit="1" customWidth="1"/>
    <col min="2248" max="2248" width="9.5546875" bestFit="1" customWidth="1"/>
    <col min="2249" max="2249" width="12.21875" bestFit="1" customWidth="1"/>
    <col min="2250" max="2250" width="9.5546875" bestFit="1" customWidth="1"/>
    <col min="2251" max="2251" width="12.21875" bestFit="1" customWidth="1"/>
    <col min="2252" max="2252" width="9.5546875" bestFit="1" customWidth="1"/>
    <col min="2253" max="2253" width="12.21875" bestFit="1" customWidth="1"/>
    <col min="2254" max="2254" width="9.5546875" bestFit="1" customWidth="1"/>
    <col min="2255" max="2255" width="12.21875" bestFit="1" customWidth="1"/>
    <col min="2256" max="2256" width="9.5546875" bestFit="1" customWidth="1"/>
    <col min="2257" max="2257" width="12.21875" bestFit="1" customWidth="1"/>
    <col min="2258" max="2258" width="9.5546875" bestFit="1" customWidth="1"/>
    <col min="2259" max="2259" width="12.21875" bestFit="1" customWidth="1"/>
    <col min="2260" max="2260" width="9.5546875" bestFit="1" customWidth="1"/>
    <col min="2261" max="2261" width="12.21875" bestFit="1" customWidth="1"/>
    <col min="2262" max="2262" width="8.5546875" bestFit="1" customWidth="1"/>
    <col min="2263" max="2263" width="11.21875" bestFit="1" customWidth="1"/>
    <col min="2264" max="2264" width="9.5546875" bestFit="1" customWidth="1"/>
    <col min="2265" max="2265" width="12.21875" bestFit="1" customWidth="1"/>
    <col min="2266" max="2266" width="9.5546875" bestFit="1" customWidth="1"/>
    <col min="2267" max="2267" width="12.21875" bestFit="1" customWidth="1"/>
    <col min="2268" max="2268" width="8.5546875" bestFit="1" customWidth="1"/>
    <col min="2269" max="2269" width="11.21875" bestFit="1" customWidth="1"/>
    <col min="2270" max="2270" width="9.5546875" bestFit="1" customWidth="1"/>
    <col min="2271" max="2271" width="12.21875" bestFit="1" customWidth="1"/>
    <col min="2272" max="2272" width="9.5546875" bestFit="1" customWidth="1"/>
    <col min="2273" max="2273" width="12.21875" bestFit="1" customWidth="1"/>
    <col min="2274" max="2274" width="9.5546875" bestFit="1" customWidth="1"/>
    <col min="2275" max="2275" width="12.21875" bestFit="1" customWidth="1"/>
    <col min="2276" max="2276" width="9.5546875" bestFit="1" customWidth="1"/>
    <col min="2277" max="2277" width="12.21875" bestFit="1" customWidth="1"/>
    <col min="2278" max="2278" width="8.5546875" bestFit="1" customWidth="1"/>
    <col min="2279" max="2279" width="11.21875" bestFit="1" customWidth="1"/>
    <col min="2280" max="2280" width="8.5546875" bestFit="1" customWidth="1"/>
    <col min="2281" max="2281" width="11.21875" bestFit="1" customWidth="1"/>
    <col min="2282" max="2282" width="9.5546875" bestFit="1" customWidth="1"/>
    <col min="2283" max="2283" width="12.21875" bestFit="1" customWidth="1"/>
    <col min="2284" max="2284" width="8.5546875" bestFit="1" customWidth="1"/>
    <col min="2285" max="2285" width="11.21875" bestFit="1" customWidth="1"/>
    <col min="2286" max="2286" width="8.5546875" bestFit="1" customWidth="1"/>
    <col min="2287" max="2287" width="11.21875" bestFit="1" customWidth="1"/>
    <col min="2288" max="2288" width="8.5546875" bestFit="1" customWidth="1"/>
    <col min="2289" max="2289" width="11.21875" bestFit="1" customWidth="1"/>
    <col min="2290" max="2290" width="9.5546875" bestFit="1" customWidth="1"/>
    <col min="2291" max="2291" width="12.21875" bestFit="1" customWidth="1"/>
    <col min="2292" max="2292" width="8.5546875" bestFit="1" customWidth="1"/>
    <col min="2293" max="2293" width="11.21875" bestFit="1" customWidth="1"/>
    <col min="2294" max="2294" width="9.5546875" bestFit="1" customWidth="1"/>
    <col min="2295" max="2295" width="12.21875" bestFit="1" customWidth="1"/>
    <col min="2296" max="2296" width="9.5546875" bestFit="1" customWidth="1"/>
    <col min="2297" max="2297" width="12.21875" bestFit="1" customWidth="1"/>
    <col min="2298" max="2298" width="9.5546875" bestFit="1" customWidth="1"/>
    <col min="2299" max="2299" width="12.21875" bestFit="1" customWidth="1"/>
    <col min="2300" max="2300" width="9.5546875" bestFit="1" customWidth="1"/>
    <col min="2301" max="2301" width="12.21875" bestFit="1" customWidth="1"/>
    <col min="2302" max="2302" width="9.5546875" bestFit="1" customWidth="1"/>
    <col min="2303" max="2303" width="12.21875" bestFit="1" customWidth="1"/>
    <col min="2304" max="2304" width="8.5546875" bestFit="1" customWidth="1"/>
    <col min="2305" max="2305" width="11.21875" bestFit="1" customWidth="1"/>
    <col min="2306" max="2306" width="9.5546875" bestFit="1" customWidth="1"/>
    <col min="2307" max="2307" width="12.21875" bestFit="1" customWidth="1"/>
    <col min="2308" max="2308" width="7" bestFit="1" customWidth="1"/>
    <col min="2309" max="2309" width="9.6640625" bestFit="1" customWidth="1"/>
    <col min="2310" max="2310" width="9.5546875" bestFit="1" customWidth="1"/>
    <col min="2311" max="2311" width="12.21875" bestFit="1" customWidth="1"/>
    <col min="2312" max="2312" width="9.5546875" bestFit="1" customWidth="1"/>
    <col min="2313" max="2313" width="12.21875" bestFit="1" customWidth="1"/>
    <col min="2314" max="2314" width="8.5546875" bestFit="1" customWidth="1"/>
    <col min="2315" max="2315" width="11.21875" bestFit="1" customWidth="1"/>
    <col min="2316" max="2316" width="9.5546875" bestFit="1" customWidth="1"/>
    <col min="2317" max="2317" width="12.21875" bestFit="1" customWidth="1"/>
    <col min="2318" max="2318" width="8.5546875" bestFit="1" customWidth="1"/>
    <col min="2319" max="2319" width="11.21875" bestFit="1" customWidth="1"/>
    <col min="2320" max="2320" width="9.5546875" bestFit="1" customWidth="1"/>
    <col min="2321" max="2321" width="12.21875" bestFit="1" customWidth="1"/>
    <col min="2322" max="2322" width="8.5546875" bestFit="1" customWidth="1"/>
    <col min="2323" max="2323" width="11.21875" bestFit="1" customWidth="1"/>
    <col min="2324" max="2324" width="9.5546875" bestFit="1" customWidth="1"/>
    <col min="2325" max="2325" width="12.21875" bestFit="1" customWidth="1"/>
    <col min="2326" max="2326" width="8.5546875" bestFit="1" customWidth="1"/>
    <col min="2327" max="2327" width="11.21875" bestFit="1" customWidth="1"/>
    <col min="2328" max="2328" width="8.5546875" bestFit="1" customWidth="1"/>
    <col min="2329" max="2329" width="11.21875" bestFit="1" customWidth="1"/>
    <col min="2330" max="2330" width="8.5546875" bestFit="1" customWidth="1"/>
    <col min="2331" max="2331" width="11.21875" bestFit="1" customWidth="1"/>
    <col min="2332" max="2332" width="9.5546875" bestFit="1" customWidth="1"/>
    <col min="2333" max="2333" width="12.21875" bestFit="1" customWidth="1"/>
    <col min="2334" max="2334" width="8.5546875" bestFit="1" customWidth="1"/>
    <col min="2335" max="2335" width="11.21875" bestFit="1" customWidth="1"/>
    <col min="2336" max="2336" width="9.5546875" bestFit="1" customWidth="1"/>
    <col min="2337" max="2337" width="12.21875" bestFit="1" customWidth="1"/>
    <col min="2338" max="2338" width="8.5546875" bestFit="1" customWidth="1"/>
    <col min="2339" max="2339" width="11.21875" bestFit="1" customWidth="1"/>
    <col min="2340" max="2340" width="9.5546875" bestFit="1" customWidth="1"/>
    <col min="2341" max="2341" width="12.21875" bestFit="1" customWidth="1"/>
    <col min="2342" max="2342" width="9.5546875" bestFit="1" customWidth="1"/>
    <col min="2343" max="2343" width="12.21875" bestFit="1" customWidth="1"/>
    <col min="2344" max="2344" width="9.5546875" bestFit="1" customWidth="1"/>
    <col min="2345" max="2345" width="12.21875" bestFit="1" customWidth="1"/>
    <col min="2346" max="2346" width="8.5546875" bestFit="1" customWidth="1"/>
    <col min="2347" max="2347" width="11.21875" bestFit="1" customWidth="1"/>
    <col min="2348" max="2348" width="7" bestFit="1" customWidth="1"/>
    <col min="2349" max="2349" width="9.6640625" bestFit="1" customWidth="1"/>
    <col min="2350" max="2350" width="7" bestFit="1" customWidth="1"/>
    <col min="2351" max="2351" width="9.6640625" bestFit="1" customWidth="1"/>
    <col min="2352" max="2352" width="8.5546875" bestFit="1" customWidth="1"/>
    <col min="2353" max="2353" width="11.21875" bestFit="1" customWidth="1"/>
    <col min="2354" max="2354" width="9.5546875" bestFit="1" customWidth="1"/>
    <col min="2355" max="2355" width="12.21875" bestFit="1" customWidth="1"/>
    <col min="2356" max="2356" width="9.5546875" bestFit="1" customWidth="1"/>
    <col min="2357" max="2357" width="12.21875" bestFit="1" customWidth="1"/>
    <col min="2358" max="2358" width="9.5546875" bestFit="1" customWidth="1"/>
    <col min="2359" max="2359" width="12.21875" bestFit="1" customWidth="1"/>
    <col min="2360" max="2360" width="8.5546875" bestFit="1" customWidth="1"/>
    <col min="2361" max="2361" width="11.21875" bestFit="1" customWidth="1"/>
    <col min="2362" max="2362" width="9.5546875" bestFit="1" customWidth="1"/>
    <col min="2363" max="2363" width="12.21875" bestFit="1" customWidth="1"/>
    <col min="2364" max="2364" width="8.5546875" bestFit="1" customWidth="1"/>
    <col min="2365" max="2365" width="11.21875" bestFit="1" customWidth="1"/>
    <col min="2366" max="2366" width="8.5546875" bestFit="1" customWidth="1"/>
    <col min="2367" max="2367" width="11.21875" bestFit="1" customWidth="1"/>
    <col min="2368" max="2368" width="9.5546875" bestFit="1" customWidth="1"/>
    <col min="2369" max="2369" width="12.21875" bestFit="1" customWidth="1"/>
    <col min="2370" max="2370" width="9.5546875" bestFit="1" customWidth="1"/>
    <col min="2371" max="2371" width="12.21875" bestFit="1" customWidth="1"/>
    <col min="2372" max="2372" width="9.5546875" bestFit="1" customWidth="1"/>
    <col min="2373" max="2373" width="12.21875" bestFit="1" customWidth="1"/>
    <col min="2374" max="2374" width="9.5546875" bestFit="1" customWidth="1"/>
    <col min="2375" max="2375" width="12.21875" bestFit="1" customWidth="1"/>
    <col min="2376" max="2376" width="8.5546875" bestFit="1" customWidth="1"/>
    <col min="2377" max="2377" width="11.21875" bestFit="1" customWidth="1"/>
    <col min="2378" max="2378" width="9.5546875" bestFit="1" customWidth="1"/>
    <col min="2379" max="2379" width="12.21875" bestFit="1" customWidth="1"/>
    <col min="2380" max="2380" width="7" bestFit="1" customWidth="1"/>
    <col min="2381" max="2381" width="9.6640625" bestFit="1" customWidth="1"/>
    <col min="2382" max="2382" width="8.5546875" bestFit="1" customWidth="1"/>
    <col min="2383" max="2383" width="11.21875" bestFit="1" customWidth="1"/>
    <col min="2384" max="2384" width="9.5546875" bestFit="1" customWidth="1"/>
    <col min="2385" max="2385" width="12.21875" bestFit="1" customWidth="1"/>
    <col min="2386" max="2386" width="8.5546875" bestFit="1" customWidth="1"/>
    <col min="2387" max="2387" width="11.21875" bestFit="1" customWidth="1"/>
    <col min="2388" max="2388" width="8.5546875" bestFit="1" customWidth="1"/>
    <col min="2389" max="2389" width="11.21875" bestFit="1" customWidth="1"/>
    <col min="2390" max="2390" width="8.5546875" bestFit="1" customWidth="1"/>
    <col min="2391" max="2391" width="11.21875" bestFit="1" customWidth="1"/>
    <col min="2392" max="2392" width="9.5546875" bestFit="1" customWidth="1"/>
    <col min="2393" max="2393" width="12.21875" bestFit="1" customWidth="1"/>
    <col min="2394" max="2394" width="8.5546875" bestFit="1" customWidth="1"/>
    <col min="2395" max="2395" width="11.21875" bestFit="1" customWidth="1"/>
    <col min="2396" max="2396" width="10.77734375" bestFit="1" customWidth="1"/>
  </cols>
  <sheetData>
    <row r="3" spans="1:2" x14ac:dyDescent="0.3">
      <c r="A3" s="10" t="s">
        <v>4284</v>
      </c>
      <c r="B3" t="s">
        <v>4287</v>
      </c>
    </row>
    <row r="4" spans="1:2" x14ac:dyDescent="0.3">
      <c r="A4" s="11" t="s">
        <v>2403</v>
      </c>
      <c r="B4" s="1">
        <v>175651.41000000006</v>
      </c>
    </row>
    <row r="5" spans="1:2" x14ac:dyDescent="0.3">
      <c r="A5" s="11" t="s">
        <v>4285</v>
      </c>
      <c r="B5" s="1">
        <v>175651.41000000006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843D-1804-4736-B6DD-A058B50671DD}">
  <dimension ref="A3:D10"/>
  <sheetViews>
    <sheetView workbookViewId="0">
      <selection activeCell="P40" sqref="P40"/>
    </sheetView>
  </sheetViews>
  <sheetFormatPr defaultRowHeight="14.4" x14ac:dyDescent="0.3"/>
  <cols>
    <col min="1" max="1" width="12.5546875" bestFit="1" customWidth="1"/>
    <col min="2" max="2" width="15.88671875" bestFit="1" customWidth="1"/>
    <col min="3" max="4" width="14.88671875" bestFit="1" customWidth="1"/>
    <col min="5" max="1190" width="7.109375" bestFit="1" customWidth="1"/>
    <col min="1191" max="1191" width="10.77734375" bestFit="1" customWidth="1"/>
  </cols>
  <sheetData>
    <row r="3" spans="1:4" x14ac:dyDescent="0.3">
      <c r="A3" s="10" t="s">
        <v>4284</v>
      </c>
      <c r="B3" s="5" t="s">
        <v>4287</v>
      </c>
      <c r="C3" s="5" t="s">
        <v>4290</v>
      </c>
    </row>
    <row r="4" spans="1:4" x14ac:dyDescent="0.3">
      <c r="A4" s="11" t="s">
        <v>4276</v>
      </c>
      <c r="B4" s="5">
        <v>335036.99000000028</v>
      </c>
      <c r="C4" s="5">
        <v>914</v>
      </c>
    </row>
    <row r="5" spans="1:4" x14ac:dyDescent="0.3">
      <c r="A5" s="11" t="s">
        <v>4275</v>
      </c>
      <c r="B5" s="5">
        <v>304840.02</v>
      </c>
      <c r="C5" s="5">
        <v>844</v>
      </c>
    </row>
    <row r="6" spans="1:4" x14ac:dyDescent="0.3">
      <c r="A6" s="11" t="s">
        <v>4277</v>
      </c>
      <c r="B6" s="5">
        <v>302483.54000000021</v>
      </c>
      <c r="C6" s="5">
        <v>836</v>
      </c>
    </row>
    <row r="7" spans="1:4" x14ac:dyDescent="0.3">
      <c r="A7" s="11" t="s">
        <v>4289</v>
      </c>
      <c r="B7" s="5">
        <v>322401.40999999992</v>
      </c>
      <c r="C7" s="5">
        <v>941</v>
      </c>
    </row>
    <row r="8" spans="1:4" x14ac:dyDescent="0.3">
      <c r="A8" s="11" t="s">
        <v>4285</v>
      </c>
      <c r="B8" s="5">
        <v>1264761.9600000004</v>
      </c>
      <c r="C8" s="5">
        <v>3535</v>
      </c>
    </row>
    <row r="9" spans="1:4" x14ac:dyDescent="0.3">
      <c r="C9" s="5"/>
      <c r="D9" s="5"/>
    </row>
    <row r="10" spans="1:4" x14ac:dyDescent="0.3">
      <c r="D1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38DD-AED1-458C-9E69-D1A987EE7940}">
  <dimension ref="A1:B8"/>
  <sheetViews>
    <sheetView workbookViewId="0">
      <selection activeCell="C28" sqref="C28"/>
    </sheetView>
  </sheetViews>
  <sheetFormatPr defaultRowHeight="14.4" x14ac:dyDescent="0.3"/>
  <cols>
    <col min="1" max="1" width="12.5546875" bestFit="1" customWidth="1"/>
    <col min="2" max="2" width="15.88671875" bestFit="1" customWidth="1"/>
    <col min="3" max="3" width="19" bestFit="1" customWidth="1"/>
    <col min="4" max="6" width="4.5546875" bestFit="1" customWidth="1"/>
    <col min="7" max="7" width="10.77734375" bestFit="1" customWidth="1"/>
    <col min="8" max="1200" width="15.5546875" bestFit="1" customWidth="1"/>
    <col min="1201" max="1201" width="10.77734375" bestFit="1" customWidth="1"/>
  </cols>
  <sheetData>
    <row r="1" spans="1:2" x14ac:dyDescent="0.3">
      <c r="A1" s="10" t="s">
        <v>4284</v>
      </c>
      <c r="B1" s="5" t="s">
        <v>4287</v>
      </c>
    </row>
    <row r="2" spans="1:2" x14ac:dyDescent="0.3">
      <c r="A2" s="11" t="s">
        <v>4280</v>
      </c>
      <c r="B2" s="5">
        <v>261808.55000000002</v>
      </c>
    </row>
    <row r="3" spans="1:2" x14ac:dyDescent="0.3">
      <c r="A3" s="11" t="s">
        <v>4281</v>
      </c>
      <c r="B3" s="5">
        <v>250410.9</v>
      </c>
    </row>
    <row r="4" spans="1:2" x14ac:dyDescent="0.3">
      <c r="A4" s="11" t="s">
        <v>4282</v>
      </c>
      <c r="B4" s="5">
        <v>250441.47999999998</v>
      </c>
    </row>
    <row r="5" spans="1:2" x14ac:dyDescent="0.3">
      <c r="A5" s="11" t="s">
        <v>4278</v>
      </c>
      <c r="B5" s="5">
        <v>275285.45000000007</v>
      </c>
    </row>
    <row r="6" spans="1:2" x14ac:dyDescent="0.3">
      <c r="A6" s="11" t="s">
        <v>4279</v>
      </c>
      <c r="B6" s="5">
        <v>226815.5799999999</v>
      </c>
    </row>
    <row r="7" spans="1:2" x14ac:dyDescent="0.3">
      <c r="A7" s="11" t="s">
        <v>4285</v>
      </c>
      <c r="B7" s="5">
        <v>1264761.96</v>
      </c>
    </row>
    <row r="8" spans="1:2" x14ac:dyDescent="0.3">
      <c r="B8"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84AF-41C5-43DA-B310-821B67D9D56A}">
  <dimension ref="A3:L21"/>
  <sheetViews>
    <sheetView zoomScale="96" workbookViewId="0">
      <selection activeCell="J21" sqref="J21"/>
    </sheetView>
  </sheetViews>
  <sheetFormatPr defaultRowHeight="14.4" x14ac:dyDescent="0.3"/>
  <cols>
    <col min="1" max="1" width="16.5546875" bestFit="1" customWidth="1"/>
    <col min="2" max="2" width="16.21875" bestFit="1" customWidth="1"/>
    <col min="3" max="3" width="10.77734375" bestFit="1" customWidth="1"/>
    <col min="4" max="4" width="10.21875" bestFit="1" customWidth="1"/>
    <col min="5" max="5" width="8.6640625" bestFit="1" customWidth="1"/>
    <col min="6" max="6" width="7.33203125" bestFit="1" customWidth="1"/>
    <col min="7" max="7" width="11.21875" bestFit="1" customWidth="1"/>
    <col min="8" max="8" width="7.109375" bestFit="1" customWidth="1"/>
    <col min="9" max="9" width="10.77734375" bestFit="1" customWidth="1"/>
    <col min="10" max="10" width="10.21875" bestFit="1" customWidth="1"/>
    <col min="11" max="11" width="8.6640625" bestFit="1" customWidth="1"/>
    <col min="12" max="12" width="9.33203125" bestFit="1" customWidth="1"/>
    <col min="13" max="13" width="10.109375" bestFit="1" customWidth="1"/>
    <col min="14" max="14" width="9.109375" bestFit="1" customWidth="1"/>
    <col min="15" max="15" width="10.77734375" bestFit="1" customWidth="1"/>
    <col min="16" max="16" width="10.21875" bestFit="1" customWidth="1"/>
    <col min="17" max="17" width="8.6640625" bestFit="1" customWidth="1"/>
    <col min="18" max="18" width="6.6640625" bestFit="1" customWidth="1"/>
    <col min="19" max="19" width="12" bestFit="1" customWidth="1"/>
    <col min="20" max="20" width="10.109375" bestFit="1" customWidth="1"/>
    <col min="21" max="21" width="10.77734375" bestFit="1" customWidth="1"/>
    <col min="22" max="22" width="10.21875" bestFit="1" customWidth="1"/>
    <col min="23" max="23" width="8.6640625" bestFit="1" customWidth="1"/>
    <col min="24" max="24" width="6.6640625" bestFit="1" customWidth="1"/>
    <col min="25" max="25" width="13.109375" bestFit="1" customWidth="1"/>
    <col min="26" max="26" width="8.5546875" bestFit="1" customWidth="1"/>
    <col min="27" max="27" width="10.77734375" bestFit="1" customWidth="1"/>
    <col min="28" max="28" width="10.21875" bestFit="1" customWidth="1"/>
    <col min="29" max="29" width="8.6640625" bestFit="1" customWidth="1"/>
    <col min="30" max="30" width="6.6640625" bestFit="1" customWidth="1"/>
    <col min="31" max="31" width="11.5546875" bestFit="1" customWidth="1"/>
    <col min="32" max="32" width="8.77734375" bestFit="1" customWidth="1"/>
    <col min="33" max="33" width="10.77734375" bestFit="1" customWidth="1"/>
    <col min="34" max="34" width="10.21875" bestFit="1" customWidth="1"/>
    <col min="35" max="35" width="8.6640625" bestFit="1" customWidth="1"/>
    <col min="36" max="36" width="6.6640625" bestFit="1" customWidth="1"/>
    <col min="37" max="37" width="11.77734375" bestFit="1" customWidth="1"/>
    <col min="38" max="38" width="8.33203125" bestFit="1" customWidth="1"/>
    <col min="39" max="39" width="10.77734375" bestFit="1" customWidth="1"/>
    <col min="40" max="40" width="10.21875" bestFit="1" customWidth="1"/>
    <col min="41" max="41" width="8.6640625" bestFit="1" customWidth="1"/>
    <col min="42" max="42" width="6.6640625" bestFit="1" customWidth="1"/>
    <col min="43" max="43" width="11.33203125" bestFit="1" customWidth="1"/>
    <col min="44" max="44" width="11.21875" bestFit="1" customWidth="1"/>
    <col min="45" max="1189" width="15.5546875" bestFit="1" customWidth="1"/>
    <col min="1190" max="1190" width="10.77734375" bestFit="1" customWidth="1"/>
  </cols>
  <sheetData>
    <row r="3" spans="1:12" x14ac:dyDescent="0.3">
      <c r="A3" s="10" t="s">
        <v>4287</v>
      </c>
      <c r="B3" s="10" t="s">
        <v>4286</v>
      </c>
    </row>
    <row r="4" spans="1:12" x14ac:dyDescent="0.3">
      <c r="A4" s="10" t="s">
        <v>4284</v>
      </c>
      <c r="B4" t="s">
        <v>3069</v>
      </c>
      <c r="C4" t="s">
        <v>3067</v>
      </c>
      <c r="D4" t="s">
        <v>3065</v>
      </c>
      <c r="E4" t="s">
        <v>3068</v>
      </c>
      <c r="F4" t="s">
        <v>3066</v>
      </c>
      <c r="G4" t="s">
        <v>4285</v>
      </c>
      <c r="I4" s="5" cm="1">
        <f t="array" ref="I4:I10">G5:G11</f>
        <v>195620.11000000002</v>
      </c>
    </row>
    <row r="5" spans="1:12" x14ac:dyDescent="0.3">
      <c r="A5" s="11" t="s">
        <v>2406</v>
      </c>
      <c r="B5" s="5">
        <v>35902.590000000004</v>
      </c>
      <c r="C5" s="5">
        <v>35405.049999999996</v>
      </c>
      <c r="D5" s="5">
        <v>31906.21</v>
      </c>
      <c r="E5" s="5">
        <v>38064.350000000006</v>
      </c>
      <c r="F5" s="5">
        <v>54341.909999999996</v>
      </c>
      <c r="G5" s="5">
        <v>195620.11000000002</v>
      </c>
      <c r="I5">
        <v>167459.93000000002</v>
      </c>
      <c r="L5" s="5">
        <f>GETPIVOTDATA("TotalPrice",$A$3,"Product",A5)</f>
        <v>195620.11000000002</v>
      </c>
    </row>
    <row r="6" spans="1:12" x14ac:dyDescent="0.3">
      <c r="A6" s="11" t="s">
        <v>2409</v>
      </c>
      <c r="B6" s="5">
        <v>31644.969999999994</v>
      </c>
      <c r="C6" s="5">
        <v>37473.979999999996</v>
      </c>
      <c r="D6" s="5">
        <v>29316.480000000007</v>
      </c>
      <c r="E6" s="5">
        <v>39498.39</v>
      </c>
      <c r="F6" s="5">
        <v>29526.110000000011</v>
      </c>
      <c r="G6" s="5">
        <v>167459.93000000002</v>
      </c>
      <c r="I6">
        <v>192126.56</v>
      </c>
      <c r="L6" s="5">
        <f t="shared" ref="L6:L10" si="0">GETPIVOTDATA("TotalPrice",$A$3,"Product",A6)</f>
        <v>167459.93000000002</v>
      </c>
    </row>
    <row r="7" spans="1:12" x14ac:dyDescent="0.3">
      <c r="A7" s="11" t="s">
        <v>2408</v>
      </c>
      <c r="B7" s="5">
        <v>48676.4</v>
      </c>
      <c r="C7" s="5">
        <v>35308.120000000003</v>
      </c>
      <c r="D7" s="5">
        <v>35713.680000000008</v>
      </c>
      <c r="E7" s="5">
        <v>42057.389999999992</v>
      </c>
      <c r="F7" s="5">
        <v>30370.96999999999</v>
      </c>
      <c r="G7" s="5">
        <v>192126.56</v>
      </c>
      <c r="I7">
        <v>175651.41</v>
      </c>
      <c r="L7" s="5">
        <f t="shared" si="0"/>
        <v>192126.56</v>
      </c>
    </row>
    <row r="8" spans="1:12" x14ac:dyDescent="0.3">
      <c r="A8" s="11" t="s">
        <v>2403</v>
      </c>
      <c r="B8" s="5">
        <v>32847.01</v>
      </c>
      <c r="C8" s="5">
        <v>42473.640000000007</v>
      </c>
      <c r="D8" s="5">
        <v>31790.109999999993</v>
      </c>
      <c r="E8" s="5">
        <v>33301.19</v>
      </c>
      <c r="F8" s="5">
        <v>35239.459999999992</v>
      </c>
      <c r="G8" s="5">
        <v>175651.41</v>
      </c>
      <c r="I8">
        <v>151722.39000000001</v>
      </c>
      <c r="L8" s="5">
        <f t="shared" si="0"/>
        <v>175651.41</v>
      </c>
    </row>
    <row r="9" spans="1:12" x14ac:dyDescent="0.3">
      <c r="A9" s="11" t="s">
        <v>2404</v>
      </c>
      <c r="B9" s="5">
        <v>25997.289999999997</v>
      </c>
      <c r="C9" s="5">
        <v>32317.43</v>
      </c>
      <c r="D9" s="5">
        <v>31731.750000000004</v>
      </c>
      <c r="E9" s="5">
        <v>31525.7</v>
      </c>
      <c r="F9" s="5">
        <v>30150.220000000008</v>
      </c>
      <c r="G9" s="5">
        <v>151722.39000000001</v>
      </c>
      <c r="I9">
        <v>195612.61</v>
      </c>
      <c r="L9" s="5">
        <f t="shared" si="0"/>
        <v>151722.39000000001</v>
      </c>
    </row>
    <row r="10" spans="1:12" x14ac:dyDescent="0.3">
      <c r="A10" s="11" t="s">
        <v>2407</v>
      </c>
      <c r="B10" s="5">
        <v>46940.27</v>
      </c>
      <c r="C10" s="5">
        <v>43289.52</v>
      </c>
      <c r="D10" s="5">
        <v>33165.089999999997</v>
      </c>
      <c r="E10" s="5">
        <v>32679.230000000003</v>
      </c>
      <c r="F10" s="5">
        <v>39538.5</v>
      </c>
      <c r="G10" s="5">
        <v>195612.61</v>
      </c>
      <c r="I10">
        <v>186568.95</v>
      </c>
      <c r="L10" s="5">
        <f t="shared" si="0"/>
        <v>195612.61</v>
      </c>
    </row>
    <row r="11" spans="1:12" x14ac:dyDescent="0.3">
      <c r="A11" s="11" t="s">
        <v>2405</v>
      </c>
      <c r="B11" s="5">
        <v>37777.760000000002</v>
      </c>
      <c r="C11" s="5">
        <v>37579.89</v>
      </c>
      <c r="D11" s="5">
        <v>38737.860000000008</v>
      </c>
      <c r="E11" s="5">
        <v>29197.670000000002</v>
      </c>
      <c r="F11" s="5">
        <v>43275.76999999999</v>
      </c>
      <c r="G11" s="5">
        <v>186568.95</v>
      </c>
    </row>
    <row r="12" spans="1:12" x14ac:dyDescent="0.3">
      <c r="A12" s="11" t="s">
        <v>4285</v>
      </c>
      <c r="B12" s="5">
        <v>259786.29</v>
      </c>
      <c r="C12" s="5">
        <v>263847.63</v>
      </c>
      <c r="D12" s="5">
        <v>232361.18000000002</v>
      </c>
      <c r="E12" s="5">
        <v>246323.92000000004</v>
      </c>
      <c r="F12" s="5">
        <v>262442.93999999994</v>
      </c>
      <c r="G12" s="5">
        <v>1264761.9600000002</v>
      </c>
    </row>
    <row r="21" spans="10:10" x14ac:dyDescent="0.3">
      <c r="J21">
        <f>J1</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B39F-035D-40D5-9984-589DD90BC980}">
  <dimension ref="D15:P64"/>
  <sheetViews>
    <sheetView showGridLines="0" tabSelected="1" zoomScale="83" workbookViewId="0">
      <selection activeCell="AA13" sqref="AA13"/>
    </sheetView>
  </sheetViews>
  <sheetFormatPr defaultRowHeight="14.4" x14ac:dyDescent="0.3"/>
  <cols>
    <col min="1" max="3" width="8.88671875" style="13"/>
    <col min="4" max="4" width="10.5546875" style="13" bestFit="1" customWidth="1"/>
    <col min="5" max="15" width="8.88671875" style="13"/>
    <col min="16" max="16" width="10.5546875" style="13" bestFit="1" customWidth="1"/>
    <col min="17" max="16384" width="8.88671875" style="13"/>
  </cols>
  <sheetData>
    <row r="15" spans="4:4" x14ac:dyDescent="0.3">
      <c r="D15" s="14"/>
    </row>
    <row r="46" spans="7:10" x14ac:dyDescent="0.3">
      <c r="G46" s="13">
        <f>COUNTA(ordersTable[OrderID])</f>
        <v>1200</v>
      </c>
    </row>
    <row r="47" spans="7:10" x14ac:dyDescent="0.3">
      <c r="J47" s="16">
        <f>COUNTIF(ordersTable[OrderStatus],"Delivered")/COUNTA(ordersTable[OrderID])</f>
        <v>0.1925</v>
      </c>
    </row>
    <row r="48" spans="7:10" x14ac:dyDescent="0.3">
      <c r="J48" s="16"/>
    </row>
    <row r="58" spans="11:16" x14ac:dyDescent="0.3">
      <c r="K58" s="15">
        <f>AVERAGE(ordersTable[TotalPrice])</f>
        <v>1053.9683000000005</v>
      </c>
    </row>
    <row r="64" spans="11:16" x14ac:dyDescent="0.3">
      <c r="P64" s="14">
        <f>SUM(ordersTable[TotalPrice])</f>
        <v>1264761.9600000004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A463-4A77-468C-99A9-F33964FCBF37}">
  <dimension ref="A3:F17"/>
  <sheetViews>
    <sheetView topLeftCell="A2" workbookViewId="0">
      <selection activeCell="F25" sqref="F25"/>
    </sheetView>
  </sheetViews>
  <sheetFormatPr defaultRowHeight="14.4" x14ac:dyDescent="0.3"/>
  <cols>
    <col min="1" max="1" width="12.5546875" bestFit="1" customWidth="1"/>
    <col min="2" max="2" width="15.88671875" bestFit="1" customWidth="1"/>
  </cols>
  <sheetData>
    <row r="3" spans="1:6" x14ac:dyDescent="0.3">
      <c r="A3" s="10" t="s">
        <v>4284</v>
      </c>
      <c r="B3" t="s">
        <v>4287</v>
      </c>
    </row>
    <row r="4" spans="1:6" x14ac:dyDescent="0.3">
      <c r="A4" s="11" t="s">
        <v>4291</v>
      </c>
      <c r="B4" s="1">
        <v>124313.23000000005</v>
      </c>
    </row>
    <row r="5" spans="1:6" x14ac:dyDescent="0.3">
      <c r="A5" s="11" t="s">
        <v>4292</v>
      </c>
      <c r="B5" s="1">
        <v>112344.77999999998</v>
      </c>
      <c r="E5" t="str" cm="1">
        <f t="array" ref="E5:F17">A3:B15</f>
        <v>Row Labels</v>
      </c>
      <c r="F5" t="str">
        <v>Sum of TotalPrice</v>
      </c>
    </row>
    <row r="6" spans="1:6" x14ac:dyDescent="0.3">
      <c r="A6" s="11" t="s">
        <v>4293</v>
      </c>
      <c r="B6" s="1">
        <v>123840.92999999995</v>
      </c>
      <c r="E6" t="str">
        <v>Jan</v>
      </c>
      <c r="F6">
        <v>124313.23000000005</v>
      </c>
    </row>
    <row r="7" spans="1:6" x14ac:dyDescent="0.3">
      <c r="A7" s="11" t="s">
        <v>4294</v>
      </c>
      <c r="B7" s="1">
        <v>109186.05</v>
      </c>
      <c r="E7" t="str">
        <v>Feb</v>
      </c>
      <c r="F7">
        <v>112344.77999999998</v>
      </c>
    </row>
    <row r="8" spans="1:6" x14ac:dyDescent="0.3">
      <c r="A8" s="11" t="s">
        <v>4295</v>
      </c>
      <c r="B8" s="1">
        <v>135142.59</v>
      </c>
      <c r="E8" t="str">
        <v>Mar</v>
      </c>
      <c r="F8">
        <v>123840.92999999995</v>
      </c>
    </row>
    <row r="9" spans="1:6" x14ac:dyDescent="0.3">
      <c r="A9" s="11" t="s">
        <v>4296</v>
      </c>
      <c r="B9" s="1">
        <v>170616.13000000006</v>
      </c>
      <c r="E9" t="str">
        <v>Apr</v>
      </c>
      <c r="F9">
        <v>109186.05</v>
      </c>
    </row>
    <row r="10" spans="1:6" x14ac:dyDescent="0.3">
      <c r="A10" s="11" t="s">
        <v>4297</v>
      </c>
      <c r="B10" s="1">
        <v>85784.63999999997</v>
      </c>
      <c r="E10" t="str">
        <v>May</v>
      </c>
      <c r="F10">
        <v>135142.59</v>
      </c>
    </row>
    <row r="11" spans="1:6" x14ac:dyDescent="0.3">
      <c r="A11" s="11" t="s">
        <v>4298</v>
      </c>
      <c r="B11" s="1">
        <v>86343.210000000036</v>
      </c>
      <c r="E11" t="str">
        <v>Jun</v>
      </c>
      <c r="F11">
        <v>170616.13000000006</v>
      </c>
    </row>
    <row r="12" spans="1:6" x14ac:dyDescent="0.3">
      <c r="A12" s="11" t="s">
        <v>4299</v>
      </c>
      <c r="B12" s="1">
        <v>69321.650000000023</v>
      </c>
      <c r="E12" t="str">
        <v>Jul</v>
      </c>
      <c r="F12">
        <v>85784.63999999997</v>
      </c>
    </row>
    <row r="13" spans="1:6" x14ac:dyDescent="0.3">
      <c r="A13" s="11" t="s">
        <v>4302</v>
      </c>
      <c r="B13" s="1">
        <v>89834.820000000022</v>
      </c>
      <c r="E13" t="str">
        <v>Aug</v>
      </c>
      <c r="F13">
        <v>86343.210000000036</v>
      </c>
    </row>
    <row r="14" spans="1:6" x14ac:dyDescent="0.3">
      <c r="A14" s="11" t="s">
        <v>4300</v>
      </c>
      <c r="B14" s="1">
        <v>75493.430000000008</v>
      </c>
      <c r="E14" t="str">
        <v>Sep</v>
      </c>
      <c r="F14">
        <v>69321.650000000023</v>
      </c>
    </row>
    <row r="15" spans="1:6" x14ac:dyDescent="0.3">
      <c r="A15" s="11" t="s">
        <v>4301</v>
      </c>
      <c r="B15" s="1">
        <v>82540.5</v>
      </c>
      <c r="E15" t="str">
        <v>Oct</v>
      </c>
      <c r="F15">
        <v>89834.820000000022</v>
      </c>
    </row>
    <row r="16" spans="1:6" x14ac:dyDescent="0.3">
      <c r="A16" s="11" t="s">
        <v>4285</v>
      </c>
      <c r="B16" s="1">
        <v>1264761.96</v>
      </c>
      <c r="E16" t="str">
        <v>Nov</v>
      </c>
      <c r="F16">
        <v>75493.430000000008</v>
      </c>
    </row>
    <row r="17" spans="5:6" x14ac:dyDescent="0.3">
      <c r="E17" t="str">
        <v>Dec</v>
      </c>
      <c r="F17">
        <v>82540.5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opLeftCell="A808" zoomScale="91" zoomScaleNormal="78" workbookViewId="0">
      <selection activeCell="I1201" sqref="I1:I1201"/>
    </sheetView>
  </sheetViews>
  <sheetFormatPr defaultRowHeight="14.4" x14ac:dyDescent="0.3"/>
  <cols>
    <col min="1" max="1" width="13.6640625" style="1" customWidth="1"/>
    <col min="2" max="2" width="24.88671875" style="2" customWidth="1"/>
    <col min="3" max="3" width="15.5546875" style="3" customWidth="1"/>
    <col min="4" max="4" width="15.109375" style="1" customWidth="1"/>
    <col min="5" max="5" width="17.6640625" style="5" customWidth="1"/>
    <col min="6" max="6" width="17.44140625" style="4" customWidth="1"/>
    <col min="7" max="7" width="20.6640625" style="1" customWidth="1"/>
    <col min="8" max="8" width="22.21875" style="1" customWidth="1"/>
    <col min="9" max="9" width="15.33203125" style="1" customWidth="1"/>
    <col min="10" max="10" width="22.5546875" style="1" customWidth="1"/>
    <col min="11" max="11" width="14.6640625" style="1" customWidth="1"/>
    <col min="12" max="12" width="19.33203125" style="1" customWidth="1"/>
    <col min="13" max="13" width="18.77734375" style="1" customWidth="1"/>
    <col min="14" max="14" width="14.109375" style="1" customWidth="1"/>
    <col min="15" max="15" width="16.6640625" customWidth="1"/>
  </cols>
  <sheetData>
    <row r="1" spans="1:15" x14ac:dyDescent="0.3">
      <c r="A1" s="6" t="s">
        <v>0</v>
      </c>
      <c r="B1" s="7" t="s">
        <v>1</v>
      </c>
      <c r="C1" s="8" t="s">
        <v>2</v>
      </c>
      <c r="D1" s="6" t="s">
        <v>3</v>
      </c>
      <c r="E1" s="12" t="s">
        <v>4</v>
      </c>
      <c r="F1" s="9" t="s">
        <v>5</v>
      </c>
      <c r="G1" s="6" t="s">
        <v>6</v>
      </c>
      <c r="H1" s="6" t="s">
        <v>7</v>
      </c>
      <c r="I1" s="6" t="s">
        <v>8</v>
      </c>
      <c r="J1" s="6" t="s">
        <v>9</v>
      </c>
      <c r="K1" s="6" t="s">
        <v>10</v>
      </c>
      <c r="L1" s="6" t="s">
        <v>11</v>
      </c>
      <c r="M1" s="6" t="s">
        <v>12</v>
      </c>
      <c r="N1" s="6" t="s">
        <v>13</v>
      </c>
      <c r="O1" s="6" t="s">
        <v>4283</v>
      </c>
    </row>
    <row r="2" spans="1:15" x14ac:dyDescent="0.3">
      <c r="A2" s="1" t="s">
        <v>14</v>
      </c>
      <c r="B2" s="2">
        <v>44930</v>
      </c>
      <c r="C2" s="3" t="s">
        <v>1214</v>
      </c>
      <c r="D2" s="1" t="s">
        <v>2403</v>
      </c>
      <c r="E2" s="5">
        <v>5</v>
      </c>
      <c r="F2" s="4">
        <v>570.62</v>
      </c>
      <c r="G2" s="1" t="s">
        <v>2410</v>
      </c>
      <c r="H2" s="1" t="s">
        <v>3065</v>
      </c>
      <c r="I2" s="1" t="s">
        <v>3070</v>
      </c>
      <c r="J2" s="1" t="s">
        <v>3075</v>
      </c>
      <c r="K2" s="1">
        <v>7</v>
      </c>
      <c r="L2" s="1" t="s">
        <v>4275</v>
      </c>
      <c r="M2" s="1" t="s">
        <v>4278</v>
      </c>
      <c r="N2" s="1">
        <v>2853.1</v>
      </c>
      <c r="O2" s="1">
        <f>(ordersTable[[#This Row],[Quantity]]*ordersTable[[#This Row],[UnitPrice]])-ordersTable[[#This Row],[TotalPrice]]</f>
        <v>0</v>
      </c>
    </row>
    <row r="3" spans="1:15" x14ac:dyDescent="0.3">
      <c r="A3" s="1" t="s">
        <v>15</v>
      </c>
      <c r="B3" s="2">
        <v>45527</v>
      </c>
      <c r="C3" s="3" t="s">
        <v>1215</v>
      </c>
      <c r="D3" s="1" t="s">
        <v>2404</v>
      </c>
      <c r="E3" s="5">
        <v>2</v>
      </c>
      <c r="F3" s="4">
        <v>151.35</v>
      </c>
      <c r="G3" s="1" t="s">
        <v>2411</v>
      </c>
      <c r="H3" s="1" t="s">
        <v>3066</v>
      </c>
      <c r="I3" s="1" t="s">
        <v>3070</v>
      </c>
      <c r="J3" s="1" t="s">
        <v>3076</v>
      </c>
      <c r="K3" s="1">
        <v>3</v>
      </c>
      <c r="L3" s="1" t="s">
        <v>4275</v>
      </c>
      <c r="M3" s="1" t="s">
        <v>4279</v>
      </c>
      <c r="N3" s="1">
        <v>302.7</v>
      </c>
      <c r="O3" s="1">
        <f>(ordersTable[[#This Row],[Quantity]]*ordersTable[[#This Row],[UnitPrice]])-ordersTable[[#This Row],[TotalPrice]]</f>
        <v>0</v>
      </c>
    </row>
    <row r="4" spans="1:15" x14ac:dyDescent="0.3">
      <c r="A4" s="1" t="s">
        <v>16</v>
      </c>
      <c r="B4" s="2">
        <v>45349</v>
      </c>
      <c r="C4" s="3" t="s">
        <v>1216</v>
      </c>
      <c r="D4" s="1" t="s">
        <v>2405</v>
      </c>
      <c r="E4" s="5">
        <v>5</v>
      </c>
      <c r="F4" s="4">
        <v>550.67999999999995</v>
      </c>
      <c r="G4" s="1" t="s">
        <v>2412</v>
      </c>
      <c r="H4" s="1" t="s">
        <v>3067</v>
      </c>
      <c r="I4" s="1" t="s">
        <v>3071</v>
      </c>
      <c r="J4" s="1" t="s">
        <v>3077</v>
      </c>
      <c r="K4" s="1">
        <v>8</v>
      </c>
      <c r="L4" s="1" t="s">
        <v>4276</v>
      </c>
      <c r="M4" s="1" t="s">
        <v>4280</v>
      </c>
      <c r="N4" s="1">
        <v>2753.4</v>
      </c>
      <c r="O4" s="1">
        <f>(ordersTable[[#This Row],[Quantity]]*ordersTable[[#This Row],[UnitPrice]])-ordersTable[[#This Row],[TotalPrice]]</f>
        <v>0</v>
      </c>
    </row>
    <row r="5" spans="1:15" x14ac:dyDescent="0.3">
      <c r="A5" s="1" t="s">
        <v>17</v>
      </c>
      <c r="B5" s="2">
        <v>45214</v>
      </c>
      <c r="C5" s="3" t="s">
        <v>1217</v>
      </c>
      <c r="D5" s="1" t="s">
        <v>2406</v>
      </c>
      <c r="E5" s="5">
        <v>1</v>
      </c>
      <c r="F5" s="4">
        <v>273.19</v>
      </c>
      <c r="G5" s="1" t="s">
        <v>2413</v>
      </c>
      <c r="H5" s="1" t="s">
        <v>3065</v>
      </c>
      <c r="I5" s="1" t="s">
        <v>3072</v>
      </c>
      <c r="J5" s="1" t="s">
        <v>3078</v>
      </c>
      <c r="K5" s="1">
        <v>5</v>
      </c>
      <c r="L5" s="1" t="s">
        <v>4275</v>
      </c>
      <c r="M5" s="1" t="s">
        <v>4281</v>
      </c>
      <c r="N5" s="1">
        <v>273.19</v>
      </c>
      <c r="O5" s="1">
        <f>(ordersTable[[#This Row],[Quantity]]*ordersTable[[#This Row],[UnitPrice]])-ordersTable[[#This Row],[TotalPrice]]</f>
        <v>0</v>
      </c>
    </row>
    <row r="6" spans="1:15" x14ac:dyDescent="0.3">
      <c r="A6" s="1" t="s">
        <v>18</v>
      </c>
      <c r="B6" s="2">
        <v>45785</v>
      </c>
      <c r="C6" s="3" t="s">
        <v>1218</v>
      </c>
      <c r="D6" s="1" t="s">
        <v>2407</v>
      </c>
      <c r="E6" s="5">
        <v>4</v>
      </c>
      <c r="F6" s="4">
        <v>626.01</v>
      </c>
      <c r="G6" s="1" t="s">
        <v>2414</v>
      </c>
      <c r="H6" s="1" t="s">
        <v>3066</v>
      </c>
      <c r="I6" s="1" t="s">
        <v>3073</v>
      </c>
      <c r="J6" s="1" t="s">
        <v>3079</v>
      </c>
      <c r="K6" s="1">
        <v>8</v>
      </c>
      <c r="L6" s="1" t="s">
        <v>4275</v>
      </c>
      <c r="M6" s="1" t="s">
        <v>4280</v>
      </c>
      <c r="N6" s="1">
        <v>2504.04</v>
      </c>
      <c r="O6" s="1">
        <f>(ordersTable[[#This Row],[Quantity]]*ordersTable[[#This Row],[UnitPrice]])-ordersTable[[#This Row],[TotalPrice]]</f>
        <v>0</v>
      </c>
    </row>
    <row r="7" spans="1:15" x14ac:dyDescent="0.3">
      <c r="A7" s="1" t="s">
        <v>19</v>
      </c>
      <c r="B7" s="2">
        <v>45222</v>
      </c>
      <c r="C7" s="3" t="s">
        <v>1219</v>
      </c>
      <c r="D7" s="1" t="s">
        <v>2404</v>
      </c>
      <c r="E7" s="5">
        <v>2</v>
      </c>
      <c r="F7" s="4">
        <v>245.86</v>
      </c>
      <c r="G7" s="1" t="s">
        <v>2415</v>
      </c>
      <c r="H7" s="1" t="s">
        <v>3067</v>
      </c>
      <c r="I7" s="1" t="s">
        <v>3070</v>
      </c>
      <c r="J7" s="1" t="s">
        <v>3080</v>
      </c>
      <c r="K7" s="1">
        <v>4</v>
      </c>
      <c r="L7" s="1" t="s">
        <v>4275</v>
      </c>
      <c r="M7" s="1" t="s">
        <v>4278</v>
      </c>
      <c r="N7" s="1">
        <v>491.72</v>
      </c>
      <c r="O7" s="1">
        <f>(ordersTable[[#This Row],[Quantity]]*ordersTable[[#This Row],[UnitPrice]])-ordersTable[[#This Row],[TotalPrice]]</f>
        <v>0</v>
      </c>
    </row>
    <row r="8" spans="1:15" x14ac:dyDescent="0.3">
      <c r="A8" s="1" t="s">
        <v>20</v>
      </c>
      <c r="B8" s="2">
        <v>45825</v>
      </c>
      <c r="C8" s="3" t="s">
        <v>1220</v>
      </c>
      <c r="D8" s="1" t="s">
        <v>2408</v>
      </c>
      <c r="E8" s="5">
        <v>1</v>
      </c>
      <c r="F8" s="4">
        <v>664.42</v>
      </c>
      <c r="G8" s="1" t="s">
        <v>2416</v>
      </c>
      <c r="H8" s="1" t="s">
        <v>3068</v>
      </c>
      <c r="I8" s="1" t="s">
        <v>3072</v>
      </c>
      <c r="J8" s="1" t="s">
        <v>3081</v>
      </c>
      <c r="K8" s="1">
        <v>6</v>
      </c>
      <c r="L8" s="1" t="s">
        <v>4275</v>
      </c>
      <c r="M8" s="1" t="s">
        <v>4281</v>
      </c>
      <c r="N8" s="1">
        <v>664.42</v>
      </c>
      <c r="O8" s="1">
        <f>(ordersTable[[#This Row],[Quantity]]*ordersTable[[#This Row],[UnitPrice]])-ordersTable[[#This Row],[TotalPrice]]</f>
        <v>0</v>
      </c>
    </row>
    <row r="9" spans="1:15" x14ac:dyDescent="0.3">
      <c r="A9" s="1" t="s">
        <v>21</v>
      </c>
      <c r="B9" s="2">
        <v>45058</v>
      </c>
      <c r="C9" s="3" t="s">
        <v>1221</v>
      </c>
      <c r="D9" s="1" t="s">
        <v>2403</v>
      </c>
      <c r="E9" s="5">
        <v>5</v>
      </c>
      <c r="F9" s="4">
        <v>149.55000000000001</v>
      </c>
      <c r="G9" s="1" t="s">
        <v>2417</v>
      </c>
      <c r="H9" s="1" t="s">
        <v>3069</v>
      </c>
      <c r="I9" s="1" t="s">
        <v>3070</v>
      </c>
      <c r="J9" s="1" t="s">
        <v>3082</v>
      </c>
      <c r="K9" s="1">
        <v>9</v>
      </c>
      <c r="L9" s="1" t="s">
        <v>4276</v>
      </c>
      <c r="M9" s="1" t="s">
        <v>4281</v>
      </c>
      <c r="N9" s="1">
        <v>747.75</v>
      </c>
      <c r="O9" s="1">
        <f>(ordersTable[[#This Row],[Quantity]]*ordersTable[[#This Row],[UnitPrice]])-ordersTable[[#This Row],[TotalPrice]]</f>
        <v>0</v>
      </c>
    </row>
    <row r="10" spans="1:15" x14ac:dyDescent="0.3">
      <c r="A10" s="1" t="s">
        <v>22</v>
      </c>
      <c r="B10" s="2">
        <v>45749</v>
      </c>
      <c r="C10" s="3" t="s">
        <v>1222</v>
      </c>
      <c r="D10" s="1" t="s">
        <v>2404</v>
      </c>
      <c r="E10" s="5">
        <v>2</v>
      </c>
      <c r="F10" s="4">
        <v>134.28</v>
      </c>
      <c r="G10" s="1" t="s">
        <v>2418</v>
      </c>
      <c r="H10" s="1" t="s">
        <v>3068</v>
      </c>
      <c r="I10" s="1" t="s">
        <v>3071</v>
      </c>
      <c r="J10" s="1" t="s">
        <v>3083</v>
      </c>
      <c r="K10" s="1">
        <v>2</v>
      </c>
      <c r="M10" s="1" t="s">
        <v>4280</v>
      </c>
      <c r="N10" s="1">
        <v>268.56</v>
      </c>
      <c r="O10" s="1">
        <f>(ordersTable[[#This Row],[Quantity]]*ordersTable[[#This Row],[UnitPrice]])-ordersTable[[#This Row],[TotalPrice]]</f>
        <v>0</v>
      </c>
    </row>
    <row r="11" spans="1:15" x14ac:dyDescent="0.3">
      <c r="A11" s="1" t="s">
        <v>23</v>
      </c>
      <c r="B11" s="2">
        <v>45251</v>
      </c>
      <c r="C11" s="3" t="s">
        <v>1223</v>
      </c>
      <c r="D11" s="1" t="s">
        <v>2409</v>
      </c>
      <c r="E11" s="5">
        <v>4</v>
      </c>
      <c r="F11" s="4">
        <v>509.38</v>
      </c>
      <c r="G11" s="1" t="s">
        <v>2419</v>
      </c>
      <c r="H11" s="1" t="s">
        <v>3067</v>
      </c>
      <c r="I11" s="1" t="s">
        <v>3070</v>
      </c>
      <c r="J11" s="1" t="s">
        <v>3084</v>
      </c>
      <c r="K11" s="1">
        <v>6</v>
      </c>
      <c r="L11" s="1" t="s">
        <v>4275</v>
      </c>
      <c r="M11" s="1" t="s">
        <v>4282</v>
      </c>
      <c r="N11" s="1">
        <v>2037.52</v>
      </c>
      <c r="O11" s="1">
        <f>(ordersTable[[#This Row],[Quantity]]*ordersTable[[#This Row],[UnitPrice]])-ordersTable[[#This Row],[TotalPrice]]</f>
        <v>0</v>
      </c>
    </row>
    <row r="12" spans="1:15" x14ac:dyDescent="0.3">
      <c r="A12" s="1" t="s">
        <v>24</v>
      </c>
      <c r="B12" s="2">
        <v>45289</v>
      </c>
      <c r="C12" s="3" t="s">
        <v>1224</v>
      </c>
      <c r="D12" s="1" t="s">
        <v>2405</v>
      </c>
      <c r="E12" s="5">
        <v>5</v>
      </c>
      <c r="F12" s="4">
        <v>625.97</v>
      </c>
      <c r="G12" s="1" t="s">
        <v>2420</v>
      </c>
      <c r="H12" s="1" t="s">
        <v>3067</v>
      </c>
      <c r="I12" s="1" t="s">
        <v>3072</v>
      </c>
      <c r="J12" s="1" t="s">
        <v>3085</v>
      </c>
      <c r="K12" s="1">
        <v>9</v>
      </c>
      <c r="L12" s="1" t="s">
        <v>4277</v>
      </c>
      <c r="M12" s="1" t="s">
        <v>4278</v>
      </c>
      <c r="N12" s="1">
        <v>3129.85</v>
      </c>
      <c r="O12" s="1">
        <f>(ordersTable[[#This Row],[Quantity]]*ordersTable[[#This Row],[UnitPrice]])-ordersTable[[#This Row],[TotalPrice]]</f>
        <v>0</v>
      </c>
    </row>
    <row r="13" spans="1:15" x14ac:dyDescent="0.3">
      <c r="A13" s="1" t="s">
        <v>25</v>
      </c>
      <c r="B13" s="2">
        <v>45339</v>
      </c>
      <c r="C13" s="3" t="s">
        <v>1225</v>
      </c>
      <c r="D13" s="1" t="s">
        <v>2403</v>
      </c>
      <c r="E13" s="5">
        <v>3</v>
      </c>
      <c r="F13" s="4">
        <v>49.14</v>
      </c>
      <c r="G13" s="1" t="s">
        <v>2421</v>
      </c>
      <c r="H13" s="1" t="s">
        <v>3066</v>
      </c>
      <c r="I13" s="1" t="s">
        <v>3072</v>
      </c>
      <c r="J13" s="1" t="s">
        <v>3086</v>
      </c>
      <c r="K13" s="1">
        <v>7</v>
      </c>
      <c r="L13" s="1" t="s">
        <v>4275</v>
      </c>
      <c r="M13" s="1" t="s">
        <v>4280</v>
      </c>
      <c r="N13" s="1">
        <v>147.41999999999999</v>
      </c>
      <c r="O13" s="1">
        <f>(ordersTable[[#This Row],[Quantity]]*ordersTable[[#This Row],[UnitPrice]])-ordersTable[[#This Row],[TotalPrice]]</f>
        <v>0</v>
      </c>
    </row>
    <row r="14" spans="1:15" x14ac:dyDescent="0.3">
      <c r="A14" s="1" t="s">
        <v>26</v>
      </c>
      <c r="B14" s="2">
        <v>45580</v>
      </c>
      <c r="C14" s="3" t="s">
        <v>1226</v>
      </c>
      <c r="D14" s="1" t="s">
        <v>2403</v>
      </c>
      <c r="E14" s="5">
        <v>2</v>
      </c>
      <c r="F14" s="4">
        <v>180.5</v>
      </c>
      <c r="G14" s="1" t="s">
        <v>2422</v>
      </c>
      <c r="H14" s="1" t="s">
        <v>3065</v>
      </c>
      <c r="I14" s="1" t="s">
        <v>3074</v>
      </c>
      <c r="J14" s="1" t="s">
        <v>3087</v>
      </c>
      <c r="K14" s="1">
        <v>6</v>
      </c>
      <c r="L14" s="1" t="s">
        <v>4276</v>
      </c>
      <c r="M14" s="1" t="s">
        <v>4279</v>
      </c>
      <c r="N14" s="1">
        <v>361</v>
      </c>
      <c r="O14" s="1">
        <f>(ordersTable[[#This Row],[Quantity]]*ordersTable[[#This Row],[UnitPrice]])-ordersTable[[#This Row],[TotalPrice]]</f>
        <v>0</v>
      </c>
    </row>
    <row r="15" spans="1:15" x14ac:dyDescent="0.3">
      <c r="A15" s="1" t="s">
        <v>27</v>
      </c>
      <c r="B15" s="2">
        <v>45168</v>
      </c>
      <c r="C15" s="3" t="s">
        <v>1227</v>
      </c>
      <c r="D15" s="1" t="s">
        <v>2408</v>
      </c>
      <c r="E15" s="5">
        <v>3</v>
      </c>
      <c r="F15" s="4">
        <v>201.49</v>
      </c>
      <c r="G15" s="1" t="s">
        <v>2423</v>
      </c>
      <c r="H15" s="1" t="s">
        <v>3067</v>
      </c>
      <c r="I15" s="1" t="s">
        <v>3072</v>
      </c>
      <c r="J15" s="1" t="s">
        <v>3088</v>
      </c>
      <c r="K15" s="1">
        <v>4</v>
      </c>
      <c r="L15" s="1" t="s">
        <v>4276</v>
      </c>
      <c r="M15" s="1" t="s">
        <v>4281</v>
      </c>
      <c r="N15" s="1">
        <v>604.47</v>
      </c>
      <c r="O15" s="1">
        <f>(ordersTable[[#This Row],[Quantity]]*ordersTable[[#This Row],[UnitPrice]])-ordersTable[[#This Row],[TotalPrice]]</f>
        <v>0</v>
      </c>
    </row>
    <row r="16" spans="1:15" x14ac:dyDescent="0.3">
      <c r="A16" s="1" t="s">
        <v>28</v>
      </c>
      <c r="B16" s="2">
        <v>45012</v>
      </c>
      <c r="C16" s="3" t="s">
        <v>1228</v>
      </c>
      <c r="D16" s="1" t="s">
        <v>2405</v>
      </c>
      <c r="E16" s="5">
        <v>2</v>
      </c>
      <c r="F16" s="4">
        <v>393.33</v>
      </c>
      <c r="G16" s="1" t="s">
        <v>2424</v>
      </c>
      <c r="H16" s="1" t="s">
        <v>3065</v>
      </c>
      <c r="I16" s="1" t="s">
        <v>3074</v>
      </c>
      <c r="J16" s="1" t="s">
        <v>3089</v>
      </c>
      <c r="K16" s="1">
        <v>3</v>
      </c>
      <c r="L16" s="1" t="s">
        <v>4275</v>
      </c>
      <c r="M16" s="1" t="s">
        <v>4278</v>
      </c>
      <c r="N16" s="1">
        <v>786.66</v>
      </c>
      <c r="O16" s="1">
        <f>(ordersTable[[#This Row],[Quantity]]*ordersTable[[#This Row],[UnitPrice]])-ordersTable[[#This Row],[TotalPrice]]</f>
        <v>0</v>
      </c>
    </row>
    <row r="17" spans="1:15" x14ac:dyDescent="0.3">
      <c r="A17" s="1" t="s">
        <v>29</v>
      </c>
      <c r="B17" s="2">
        <v>45124</v>
      </c>
      <c r="C17" s="3" t="s">
        <v>1229</v>
      </c>
      <c r="D17" s="1" t="s">
        <v>2407</v>
      </c>
      <c r="E17" s="5">
        <v>1</v>
      </c>
      <c r="F17" s="4">
        <v>473.96</v>
      </c>
      <c r="G17" s="1" t="s">
        <v>2425</v>
      </c>
      <c r="H17" s="1" t="s">
        <v>3069</v>
      </c>
      <c r="I17" s="1" t="s">
        <v>3073</v>
      </c>
      <c r="J17" s="1" t="s">
        <v>3090</v>
      </c>
      <c r="K17" s="1">
        <v>3</v>
      </c>
      <c r="M17" s="1" t="s">
        <v>4282</v>
      </c>
      <c r="N17" s="1">
        <v>473.96</v>
      </c>
      <c r="O17" s="1">
        <f>(ordersTable[[#This Row],[Quantity]]*ordersTable[[#This Row],[UnitPrice]])-ordersTable[[#This Row],[TotalPrice]]</f>
        <v>0</v>
      </c>
    </row>
    <row r="18" spans="1:15" x14ac:dyDescent="0.3">
      <c r="A18" s="1" t="s">
        <v>30</v>
      </c>
      <c r="B18" s="2">
        <v>44950</v>
      </c>
      <c r="C18" s="3" t="s">
        <v>1230</v>
      </c>
      <c r="D18" s="1" t="s">
        <v>2407</v>
      </c>
      <c r="E18" s="5">
        <v>2</v>
      </c>
      <c r="F18" s="4">
        <v>533.80999999999995</v>
      </c>
      <c r="G18" s="1" t="s">
        <v>2426</v>
      </c>
      <c r="H18" s="1" t="s">
        <v>3067</v>
      </c>
      <c r="I18" s="1" t="s">
        <v>3074</v>
      </c>
      <c r="J18" s="1" t="s">
        <v>3091</v>
      </c>
      <c r="K18" s="1">
        <v>3</v>
      </c>
      <c r="L18" s="1" t="s">
        <v>4276</v>
      </c>
      <c r="M18" s="1" t="s">
        <v>4280</v>
      </c>
      <c r="N18" s="1">
        <v>1067.6199999999999</v>
      </c>
      <c r="O18" s="1">
        <f>(ordersTable[[#This Row],[Quantity]]*ordersTable[[#This Row],[UnitPrice]])-ordersTable[[#This Row],[TotalPrice]]</f>
        <v>0</v>
      </c>
    </row>
    <row r="19" spans="1:15" x14ac:dyDescent="0.3">
      <c r="A19" s="1" t="s">
        <v>31</v>
      </c>
      <c r="B19" s="2">
        <v>45353</v>
      </c>
      <c r="C19" s="3" t="s">
        <v>1231</v>
      </c>
      <c r="D19" s="1" t="s">
        <v>2405</v>
      </c>
      <c r="E19" s="5">
        <v>1</v>
      </c>
      <c r="F19" s="4">
        <v>423.4</v>
      </c>
      <c r="G19" s="1" t="s">
        <v>2427</v>
      </c>
      <c r="H19" s="1" t="s">
        <v>3065</v>
      </c>
      <c r="I19" s="1" t="s">
        <v>3070</v>
      </c>
      <c r="J19" s="1" t="s">
        <v>3092</v>
      </c>
      <c r="K19" s="1">
        <v>3</v>
      </c>
      <c r="M19" s="1" t="s">
        <v>4279</v>
      </c>
      <c r="N19" s="1">
        <v>423.4</v>
      </c>
      <c r="O19" s="1">
        <f>(ordersTable[[#This Row],[Quantity]]*ordersTable[[#This Row],[UnitPrice]])-ordersTable[[#This Row],[TotalPrice]]</f>
        <v>0</v>
      </c>
    </row>
    <row r="20" spans="1:15" x14ac:dyDescent="0.3">
      <c r="A20" s="1" t="s">
        <v>32</v>
      </c>
      <c r="B20" s="2">
        <v>45742</v>
      </c>
      <c r="C20" s="3" t="s">
        <v>1232</v>
      </c>
      <c r="D20" s="1" t="s">
        <v>2409</v>
      </c>
      <c r="E20" s="5">
        <v>1</v>
      </c>
      <c r="F20" s="4">
        <v>431.44</v>
      </c>
      <c r="G20" s="1" t="s">
        <v>2428</v>
      </c>
      <c r="H20" s="1" t="s">
        <v>3068</v>
      </c>
      <c r="I20" s="1" t="s">
        <v>3074</v>
      </c>
      <c r="J20" s="1" t="s">
        <v>3093</v>
      </c>
      <c r="K20" s="1">
        <v>3</v>
      </c>
      <c r="L20" s="1" t="s">
        <v>4275</v>
      </c>
      <c r="M20" s="1" t="s">
        <v>4281</v>
      </c>
      <c r="N20" s="1">
        <v>431.44</v>
      </c>
      <c r="O20" s="1">
        <f>(ordersTable[[#This Row],[Quantity]]*ordersTable[[#This Row],[UnitPrice]])-ordersTable[[#This Row],[TotalPrice]]</f>
        <v>0</v>
      </c>
    </row>
    <row r="21" spans="1:15" x14ac:dyDescent="0.3">
      <c r="A21" s="1" t="s">
        <v>33</v>
      </c>
      <c r="B21" s="2">
        <v>44949</v>
      </c>
      <c r="C21" s="3" t="s">
        <v>1233</v>
      </c>
      <c r="D21" s="1" t="s">
        <v>2403</v>
      </c>
      <c r="E21" s="5">
        <v>5</v>
      </c>
      <c r="F21" s="4">
        <v>224</v>
      </c>
      <c r="G21" s="1" t="s">
        <v>2429</v>
      </c>
      <c r="H21" s="1" t="s">
        <v>3069</v>
      </c>
      <c r="I21" s="1" t="s">
        <v>3072</v>
      </c>
      <c r="J21" s="1" t="s">
        <v>3094</v>
      </c>
      <c r="K21" s="1">
        <v>9</v>
      </c>
      <c r="L21" s="1" t="s">
        <v>4275</v>
      </c>
      <c r="M21" s="1" t="s">
        <v>4282</v>
      </c>
      <c r="N21" s="1">
        <v>1120</v>
      </c>
      <c r="O21" s="1">
        <f>(ordersTable[[#This Row],[Quantity]]*ordersTable[[#This Row],[UnitPrice]])-ordersTable[[#This Row],[TotalPrice]]</f>
        <v>0</v>
      </c>
    </row>
    <row r="22" spans="1:15" x14ac:dyDescent="0.3">
      <c r="A22" s="1" t="s">
        <v>34</v>
      </c>
      <c r="B22" s="2">
        <v>45054</v>
      </c>
      <c r="C22" s="3" t="s">
        <v>1234</v>
      </c>
      <c r="D22" s="1" t="s">
        <v>2406</v>
      </c>
      <c r="E22" s="5">
        <v>5</v>
      </c>
      <c r="F22" s="4">
        <v>62.51</v>
      </c>
      <c r="G22" s="1" t="s">
        <v>2430</v>
      </c>
      <c r="H22" s="1" t="s">
        <v>3069</v>
      </c>
      <c r="I22" s="1" t="s">
        <v>3074</v>
      </c>
      <c r="J22" s="1" t="s">
        <v>3095</v>
      </c>
      <c r="K22" s="1">
        <v>9</v>
      </c>
      <c r="L22" s="1" t="s">
        <v>4277</v>
      </c>
      <c r="M22" s="1" t="s">
        <v>4278</v>
      </c>
      <c r="N22" s="1">
        <v>312.55</v>
      </c>
      <c r="O22" s="1">
        <f>(ordersTable[[#This Row],[Quantity]]*ordersTable[[#This Row],[UnitPrice]])-ordersTable[[#This Row],[TotalPrice]]</f>
        <v>0</v>
      </c>
    </row>
    <row r="23" spans="1:15" x14ac:dyDescent="0.3">
      <c r="A23" s="1" t="s">
        <v>35</v>
      </c>
      <c r="B23" s="2">
        <v>45613</v>
      </c>
      <c r="C23" s="3" t="s">
        <v>1235</v>
      </c>
      <c r="D23" s="1" t="s">
        <v>2403</v>
      </c>
      <c r="E23" s="5">
        <v>4</v>
      </c>
      <c r="F23" s="4">
        <v>342.95</v>
      </c>
      <c r="G23" s="1" t="s">
        <v>2431</v>
      </c>
      <c r="H23" s="1" t="s">
        <v>3069</v>
      </c>
      <c r="I23" s="1" t="s">
        <v>3073</v>
      </c>
      <c r="J23" s="1" t="s">
        <v>3096</v>
      </c>
      <c r="K23" s="1">
        <v>6</v>
      </c>
      <c r="M23" s="1" t="s">
        <v>4282</v>
      </c>
      <c r="N23" s="1">
        <v>1371.8</v>
      </c>
      <c r="O23" s="1">
        <f>(ordersTable[[#This Row],[Quantity]]*ordersTable[[#This Row],[UnitPrice]])-ordersTable[[#This Row],[TotalPrice]]</f>
        <v>0</v>
      </c>
    </row>
    <row r="24" spans="1:15" x14ac:dyDescent="0.3">
      <c r="A24" s="1" t="s">
        <v>36</v>
      </c>
      <c r="B24" s="2">
        <v>44955</v>
      </c>
      <c r="C24" s="3" t="s">
        <v>1236</v>
      </c>
      <c r="D24" s="1" t="s">
        <v>2403</v>
      </c>
      <c r="E24" s="5">
        <v>2</v>
      </c>
      <c r="F24" s="4">
        <v>49.62</v>
      </c>
      <c r="G24" s="1" t="s">
        <v>2432</v>
      </c>
      <c r="H24" s="1" t="s">
        <v>3066</v>
      </c>
      <c r="I24" s="1" t="s">
        <v>3074</v>
      </c>
      <c r="J24" s="1" t="s">
        <v>3097</v>
      </c>
      <c r="K24" s="1">
        <v>2</v>
      </c>
      <c r="L24" s="1" t="s">
        <v>4275</v>
      </c>
      <c r="M24" s="1" t="s">
        <v>4282</v>
      </c>
      <c r="N24" s="1">
        <v>99.24</v>
      </c>
      <c r="O24" s="1">
        <f>(ordersTable[[#This Row],[Quantity]]*ordersTable[[#This Row],[UnitPrice]])-ordersTable[[#This Row],[TotalPrice]]</f>
        <v>0</v>
      </c>
    </row>
    <row r="25" spans="1:15" x14ac:dyDescent="0.3">
      <c r="A25" s="1" t="s">
        <v>37</v>
      </c>
      <c r="B25" s="2">
        <v>45756</v>
      </c>
      <c r="C25" s="3" t="s">
        <v>1237</v>
      </c>
      <c r="D25" s="1" t="s">
        <v>2404</v>
      </c>
      <c r="E25" s="5">
        <v>4</v>
      </c>
      <c r="F25" s="4">
        <v>273.25</v>
      </c>
      <c r="G25" s="1" t="s">
        <v>2433</v>
      </c>
      <c r="H25" s="1" t="s">
        <v>3065</v>
      </c>
      <c r="I25" s="1" t="s">
        <v>3071</v>
      </c>
      <c r="J25" s="1" t="s">
        <v>3098</v>
      </c>
      <c r="K25" s="1">
        <v>5</v>
      </c>
      <c r="L25" s="1" t="s">
        <v>4276</v>
      </c>
      <c r="M25" s="1" t="s">
        <v>4279</v>
      </c>
      <c r="N25" s="1">
        <v>1093</v>
      </c>
      <c r="O25" s="1">
        <f>(ordersTable[[#This Row],[Quantity]]*ordersTable[[#This Row],[UnitPrice]])-ordersTable[[#This Row],[TotalPrice]]</f>
        <v>0</v>
      </c>
    </row>
    <row r="26" spans="1:15" x14ac:dyDescent="0.3">
      <c r="A26" s="1" t="s">
        <v>38</v>
      </c>
      <c r="B26" s="2">
        <v>45595</v>
      </c>
      <c r="C26" s="3" t="s">
        <v>1238</v>
      </c>
      <c r="D26" s="1" t="s">
        <v>2408</v>
      </c>
      <c r="E26" s="5">
        <v>2</v>
      </c>
      <c r="F26" s="4">
        <v>230.95</v>
      </c>
      <c r="G26" s="1" t="s">
        <v>2434</v>
      </c>
      <c r="H26" s="1" t="s">
        <v>3066</v>
      </c>
      <c r="I26" s="1" t="s">
        <v>3073</v>
      </c>
      <c r="J26" s="1" t="s">
        <v>3099</v>
      </c>
      <c r="K26" s="1">
        <v>3</v>
      </c>
      <c r="L26" s="1" t="s">
        <v>4277</v>
      </c>
      <c r="M26" s="1" t="s">
        <v>4279</v>
      </c>
      <c r="N26" s="1">
        <v>461.9</v>
      </c>
      <c r="O26" s="1">
        <f>(ordersTable[[#This Row],[Quantity]]*ordersTable[[#This Row],[UnitPrice]])-ordersTable[[#This Row],[TotalPrice]]</f>
        <v>0</v>
      </c>
    </row>
    <row r="27" spans="1:15" x14ac:dyDescent="0.3">
      <c r="A27" s="1" t="s">
        <v>39</v>
      </c>
      <c r="B27" s="2">
        <v>45497</v>
      </c>
      <c r="C27" s="3" t="s">
        <v>1239</v>
      </c>
      <c r="D27" s="1" t="s">
        <v>2403</v>
      </c>
      <c r="E27" s="5">
        <v>1</v>
      </c>
      <c r="F27" s="4">
        <v>399.98</v>
      </c>
      <c r="G27" s="1" t="s">
        <v>2435</v>
      </c>
      <c r="H27" s="1" t="s">
        <v>3065</v>
      </c>
      <c r="I27" s="1" t="s">
        <v>3073</v>
      </c>
      <c r="J27" s="1" t="s">
        <v>3100</v>
      </c>
      <c r="K27" s="1">
        <v>3</v>
      </c>
      <c r="L27" s="1" t="s">
        <v>4277</v>
      </c>
      <c r="M27" s="1" t="s">
        <v>4280</v>
      </c>
      <c r="N27" s="1">
        <v>399.98</v>
      </c>
      <c r="O27" s="1">
        <f>(ordersTable[[#This Row],[Quantity]]*ordersTable[[#This Row],[UnitPrice]])-ordersTable[[#This Row],[TotalPrice]]</f>
        <v>0</v>
      </c>
    </row>
    <row r="28" spans="1:15" x14ac:dyDescent="0.3">
      <c r="A28" s="1" t="s">
        <v>40</v>
      </c>
      <c r="B28" s="2">
        <v>45357</v>
      </c>
      <c r="C28" s="3" t="s">
        <v>1240</v>
      </c>
      <c r="D28" s="1" t="s">
        <v>2408</v>
      </c>
      <c r="E28" s="5">
        <v>5</v>
      </c>
      <c r="F28" s="4">
        <v>59.55</v>
      </c>
      <c r="G28" s="1" t="s">
        <v>2436</v>
      </c>
      <c r="H28" s="1" t="s">
        <v>3066</v>
      </c>
      <c r="I28" s="1" t="s">
        <v>3073</v>
      </c>
      <c r="J28" s="1" t="s">
        <v>3101</v>
      </c>
      <c r="K28" s="1">
        <v>6</v>
      </c>
      <c r="M28" s="1" t="s">
        <v>4279</v>
      </c>
      <c r="N28" s="1">
        <v>297.75</v>
      </c>
      <c r="O28" s="1">
        <f>(ordersTable[[#This Row],[Quantity]]*ordersTable[[#This Row],[UnitPrice]])-ordersTable[[#This Row],[TotalPrice]]</f>
        <v>0</v>
      </c>
    </row>
    <row r="29" spans="1:15" x14ac:dyDescent="0.3">
      <c r="A29" s="1" t="s">
        <v>41</v>
      </c>
      <c r="B29" s="2">
        <v>45344</v>
      </c>
      <c r="C29" s="3" t="s">
        <v>1241</v>
      </c>
      <c r="D29" s="1" t="s">
        <v>2407</v>
      </c>
      <c r="E29" s="5">
        <v>1</v>
      </c>
      <c r="F29" s="4">
        <v>472.74</v>
      </c>
      <c r="G29" s="1" t="s">
        <v>2437</v>
      </c>
      <c r="H29" s="1" t="s">
        <v>3066</v>
      </c>
      <c r="I29" s="1" t="s">
        <v>3070</v>
      </c>
      <c r="J29" s="1" t="s">
        <v>3102</v>
      </c>
      <c r="K29" s="1">
        <v>6</v>
      </c>
      <c r="L29" s="1" t="s">
        <v>4277</v>
      </c>
      <c r="M29" s="1" t="s">
        <v>4282</v>
      </c>
      <c r="N29" s="1">
        <v>472.74</v>
      </c>
      <c r="O29" s="1">
        <f>(ordersTable[[#This Row],[Quantity]]*ordersTable[[#This Row],[UnitPrice]])-ordersTable[[#This Row],[TotalPrice]]</f>
        <v>0</v>
      </c>
    </row>
    <row r="30" spans="1:15" x14ac:dyDescent="0.3">
      <c r="A30" s="1" t="s">
        <v>42</v>
      </c>
      <c r="B30" s="2">
        <v>45251</v>
      </c>
      <c r="C30" s="3" t="s">
        <v>1242</v>
      </c>
      <c r="D30" s="1" t="s">
        <v>2404</v>
      </c>
      <c r="E30" s="5">
        <v>4</v>
      </c>
      <c r="F30" s="4">
        <v>160.07</v>
      </c>
      <c r="G30" s="1" t="s">
        <v>2438</v>
      </c>
      <c r="H30" s="1" t="s">
        <v>3066</v>
      </c>
      <c r="I30" s="1" t="s">
        <v>3074</v>
      </c>
      <c r="J30" s="1" t="s">
        <v>3103</v>
      </c>
      <c r="K30" s="1">
        <v>5</v>
      </c>
      <c r="M30" s="1" t="s">
        <v>4280</v>
      </c>
      <c r="N30" s="1">
        <v>640.28</v>
      </c>
      <c r="O30" s="1">
        <f>(ordersTable[[#This Row],[Quantity]]*ordersTable[[#This Row],[UnitPrice]])-ordersTable[[#This Row],[TotalPrice]]</f>
        <v>0</v>
      </c>
    </row>
    <row r="31" spans="1:15" x14ac:dyDescent="0.3">
      <c r="A31" s="1" t="s">
        <v>43</v>
      </c>
      <c r="B31" s="2">
        <v>45555</v>
      </c>
      <c r="C31" s="3" t="s">
        <v>1243</v>
      </c>
      <c r="D31" s="1" t="s">
        <v>2409</v>
      </c>
      <c r="E31" s="5">
        <v>3</v>
      </c>
      <c r="F31" s="4">
        <v>423.53</v>
      </c>
      <c r="G31" s="1" t="s">
        <v>2439</v>
      </c>
      <c r="H31" s="1" t="s">
        <v>3067</v>
      </c>
      <c r="I31" s="1" t="s">
        <v>3073</v>
      </c>
      <c r="J31" s="1" t="s">
        <v>3104</v>
      </c>
      <c r="K31" s="1">
        <v>6</v>
      </c>
      <c r="L31" s="1" t="s">
        <v>4275</v>
      </c>
      <c r="M31" s="1" t="s">
        <v>4279</v>
      </c>
      <c r="N31" s="1">
        <v>1270.5899999999999</v>
      </c>
      <c r="O31" s="1">
        <f>(ordersTable[[#This Row],[Quantity]]*ordersTable[[#This Row],[UnitPrice]])-ordersTable[[#This Row],[TotalPrice]]</f>
        <v>0</v>
      </c>
    </row>
    <row r="32" spans="1:15" x14ac:dyDescent="0.3">
      <c r="A32" s="1" t="s">
        <v>44</v>
      </c>
      <c r="B32" s="2">
        <v>45738</v>
      </c>
      <c r="C32" s="3" t="s">
        <v>1244</v>
      </c>
      <c r="D32" s="1" t="s">
        <v>2403</v>
      </c>
      <c r="E32" s="5">
        <v>2</v>
      </c>
      <c r="F32" s="4">
        <v>426.7</v>
      </c>
      <c r="G32" s="1" t="s">
        <v>2440</v>
      </c>
      <c r="H32" s="1" t="s">
        <v>3066</v>
      </c>
      <c r="I32" s="1" t="s">
        <v>3074</v>
      </c>
      <c r="J32" s="1" t="s">
        <v>3105</v>
      </c>
      <c r="K32" s="1">
        <v>5</v>
      </c>
      <c r="L32" s="1" t="s">
        <v>4275</v>
      </c>
      <c r="M32" s="1" t="s">
        <v>4279</v>
      </c>
      <c r="N32" s="1">
        <v>853.4</v>
      </c>
      <c r="O32" s="1">
        <f>(ordersTable[[#This Row],[Quantity]]*ordersTable[[#This Row],[UnitPrice]])-ordersTable[[#This Row],[TotalPrice]]</f>
        <v>0</v>
      </c>
    </row>
    <row r="33" spans="1:15" x14ac:dyDescent="0.3">
      <c r="A33" s="1" t="s">
        <v>45</v>
      </c>
      <c r="B33" s="2">
        <v>45107</v>
      </c>
      <c r="C33" s="3" t="s">
        <v>1245</v>
      </c>
      <c r="D33" s="1" t="s">
        <v>2406</v>
      </c>
      <c r="E33" s="5">
        <v>3</v>
      </c>
      <c r="F33" s="4">
        <v>500.08</v>
      </c>
      <c r="G33" s="1" t="s">
        <v>2441</v>
      </c>
      <c r="H33" s="1" t="s">
        <v>3065</v>
      </c>
      <c r="I33" s="1" t="s">
        <v>3072</v>
      </c>
      <c r="J33" s="1" t="s">
        <v>3106</v>
      </c>
      <c r="K33" s="1">
        <v>6</v>
      </c>
      <c r="M33" s="1" t="s">
        <v>4281</v>
      </c>
      <c r="N33" s="1">
        <v>1500.24</v>
      </c>
      <c r="O33" s="1">
        <f>(ordersTable[[#This Row],[Quantity]]*ordersTable[[#This Row],[UnitPrice]])-ordersTable[[#This Row],[TotalPrice]]</f>
        <v>0</v>
      </c>
    </row>
    <row r="34" spans="1:15" x14ac:dyDescent="0.3">
      <c r="A34" s="1" t="s">
        <v>46</v>
      </c>
      <c r="B34" s="2">
        <v>45047</v>
      </c>
      <c r="C34" s="3" t="s">
        <v>1246</v>
      </c>
      <c r="D34" s="1" t="s">
        <v>2405</v>
      </c>
      <c r="E34" s="5">
        <v>5</v>
      </c>
      <c r="F34" s="4">
        <v>536.72</v>
      </c>
      <c r="G34" s="1" t="s">
        <v>2442</v>
      </c>
      <c r="H34" s="1" t="s">
        <v>3069</v>
      </c>
      <c r="I34" s="1" t="s">
        <v>3073</v>
      </c>
      <c r="J34" s="1" t="s">
        <v>3107</v>
      </c>
      <c r="K34" s="1">
        <v>10</v>
      </c>
      <c r="M34" s="1" t="s">
        <v>4280</v>
      </c>
      <c r="N34" s="1">
        <v>2683.6</v>
      </c>
      <c r="O34" s="1">
        <f>(ordersTable[[#This Row],[Quantity]]*ordersTable[[#This Row],[UnitPrice]])-ordersTable[[#This Row],[TotalPrice]]</f>
        <v>0</v>
      </c>
    </row>
    <row r="35" spans="1:15" x14ac:dyDescent="0.3">
      <c r="A35" s="1" t="s">
        <v>47</v>
      </c>
      <c r="B35" s="2">
        <v>45082</v>
      </c>
      <c r="C35" s="3" t="s">
        <v>1247</v>
      </c>
      <c r="D35" s="1" t="s">
        <v>2406</v>
      </c>
      <c r="E35" s="5">
        <v>1</v>
      </c>
      <c r="F35" s="4">
        <v>162.77000000000001</v>
      </c>
      <c r="G35" s="1" t="s">
        <v>2443</v>
      </c>
      <c r="H35" s="1" t="s">
        <v>3066</v>
      </c>
      <c r="I35" s="1" t="s">
        <v>3071</v>
      </c>
      <c r="J35" s="1" t="s">
        <v>3108</v>
      </c>
      <c r="K35" s="1">
        <v>4</v>
      </c>
      <c r="L35" s="1" t="s">
        <v>4277</v>
      </c>
      <c r="M35" s="1" t="s">
        <v>4281</v>
      </c>
      <c r="N35" s="1">
        <v>162.77000000000001</v>
      </c>
      <c r="O35" s="1">
        <f>(ordersTable[[#This Row],[Quantity]]*ordersTable[[#This Row],[UnitPrice]])-ordersTable[[#This Row],[TotalPrice]]</f>
        <v>0</v>
      </c>
    </row>
    <row r="36" spans="1:15" x14ac:dyDescent="0.3">
      <c r="A36" s="1" t="s">
        <v>48</v>
      </c>
      <c r="B36" s="2">
        <v>44933</v>
      </c>
      <c r="C36" s="3" t="s">
        <v>1248</v>
      </c>
      <c r="D36" s="1" t="s">
        <v>2406</v>
      </c>
      <c r="E36" s="5">
        <v>4</v>
      </c>
      <c r="F36" s="4">
        <v>576.52</v>
      </c>
      <c r="G36" s="1" t="s">
        <v>2444</v>
      </c>
      <c r="H36" s="1" t="s">
        <v>3067</v>
      </c>
      <c r="I36" s="1" t="s">
        <v>3074</v>
      </c>
      <c r="J36" s="1" t="s">
        <v>3109</v>
      </c>
      <c r="K36" s="1">
        <v>5</v>
      </c>
      <c r="L36" s="1" t="s">
        <v>4277</v>
      </c>
      <c r="M36" s="1" t="s">
        <v>4281</v>
      </c>
      <c r="N36" s="1">
        <v>2306.08</v>
      </c>
      <c r="O36" s="1">
        <f>(ordersTable[[#This Row],[Quantity]]*ordersTable[[#This Row],[UnitPrice]])-ordersTable[[#This Row],[TotalPrice]]</f>
        <v>0</v>
      </c>
    </row>
    <row r="37" spans="1:15" x14ac:dyDescent="0.3">
      <c r="A37" s="1" t="s">
        <v>49</v>
      </c>
      <c r="B37" s="2">
        <v>45633</v>
      </c>
      <c r="C37" s="3" t="s">
        <v>1249</v>
      </c>
      <c r="D37" s="1" t="s">
        <v>2403</v>
      </c>
      <c r="E37" s="5">
        <v>2</v>
      </c>
      <c r="F37" s="4">
        <v>465.15</v>
      </c>
      <c r="G37" s="1" t="s">
        <v>2445</v>
      </c>
      <c r="H37" s="1" t="s">
        <v>3066</v>
      </c>
      <c r="I37" s="1" t="s">
        <v>3070</v>
      </c>
      <c r="J37" s="1" t="s">
        <v>3110</v>
      </c>
      <c r="K37" s="1">
        <v>2</v>
      </c>
      <c r="L37" s="1" t="s">
        <v>4275</v>
      </c>
      <c r="M37" s="1" t="s">
        <v>4281</v>
      </c>
      <c r="N37" s="1">
        <v>930.3</v>
      </c>
      <c r="O37" s="1">
        <f>(ordersTable[[#This Row],[Quantity]]*ordersTable[[#This Row],[UnitPrice]])-ordersTable[[#This Row],[TotalPrice]]</f>
        <v>0</v>
      </c>
    </row>
    <row r="38" spans="1:15" x14ac:dyDescent="0.3">
      <c r="A38" s="1" t="s">
        <v>50</v>
      </c>
      <c r="B38" s="2">
        <v>45785</v>
      </c>
      <c r="C38" s="3" t="s">
        <v>1250</v>
      </c>
      <c r="D38" s="1" t="s">
        <v>2408</v>
      </c>
      <c r="E38" s="5">
        <v>2</v>
      </c>
      <c r="F38" s="4">
        <v>534.42999999999995</v>
      </c>
      <c r="G38" s="1" t="s">
        <v>2446</v>
      </c>
      <c r="H38" s="1" t="s">
        <v>3065</v>
      </c>
      <c r="I38" s="1" t="s">
        <v>3074</v>
      </c>
      <c r="J38" s="1" t="s">
        <v>3111</v>
      </c>
      <c r="K38" s="1">
        <v>5</v>
      </c>
      <c r="M38" s="1" t="s">
        <v>4281</v>
      </c>
      <c r="N38" s="1">
        <v>1068.8599999999999</v>
      </c>
      <c r="O38" s="1">
        <f>(ordersTable[[#This Row],[Quantity]]*ordersTable[[#This Row],[UnitPrice]])-ordersTable[[#This Row],[TotalPrice]]</f>
        <v>0</v>
      </c>
    </row>
    <row r="39" spans="1:15" x14ac:dyDescent="0.3">
      <c r="A39" s="1" t="s">
        <v>51</v>
      </c>
      <c r="B39" s="2">
        <v>45579</v>
      </c>
      <c r="C39" s="3" t="s">
        <v>1251</v>
      </c>
      <c r="D39" s="1" t="s">
        <v>2408</v>
      </c>
      <c r="E39" s="5">
        <v>2</v>
      </c>
      <c r="F39" s="4">
        <v>76.739999999999995</v>
      </c>
      <c r="G39" s="1" t="s">
        <v>2447</v>
      </c>
      <c r="H39" s="1" t="s">
        <v>3069</v>
      </c>
      <c r="I39" s="1" t="s">
        <v>3072</v>
      </c>
      <c r="J39" s="1" t="s">
        <v>3112</v>
      </c>
      <c r="K39" s="1">
        <v>7</v>
      </c>
      <c r="L39" s="1" t="s">
        <v>4275</v>
      </c>
      <c r="M39" s="1" t="s">
        <v>4278</v>
      </c>
      <c r="N39" s="1">
        <v>153.47999999999999</v>
      </c>
      <c r="O39" s="1">
        <f>(ordersTable[[#This Row],[Quantity]]*ordersTable[[#This Row],[UnitPrice]])-ordersTable[[#This Row],[TotalPrice]]</f>
        <v>0</v>
      </c>
    </row>
    <row r="40" spans="1:15" x14ac:dyDescent="0.3">
      <c r="A40" s="1" t="s">
        <v>52</v>
      </c>
      <c r="B40" s="2">
        <v>45645</v>
      </c>
      <c r="C40" s="3" t="s">
        <v>1252</v>
      </c>
      <c r="D40" s="1" t="s">
        <v>2408</v>
      </c>
      <c r="E40" s="5">
        <v>1</v>
      </c>
      <c r="F40" s="4">
        <v>245.89</v>
      </c>
      <c r="G40" s="1" t="s">
        <v>2448</v>
      </c>
      <c r="H40" s="1" t="s">
        <v>3065</v>
      </c>
      <c r="I40" s="1" t="s">
        <v>3073</v>
      </c>
      <c r="J40" s="1" t="s">
        <v>3113</v>
      </c>
      <c r="K40" s="1">
        <v>3</v>
      </c>
      <c r="L40" s="1" t="s">
        <v>4275</v>
      </c>
      <c r="M40" s="1" t="s">
        <v>4282</v>
      </c>
      <c r="N40" s="1">
        <v>245.89</v>
      </c>
      <c r="O40" s="1">
        <f>(ordersTable[[#This Row],[Quantity]]*ordersTable[[#This Row],[UnitPrice]])-ordersTable[[#This Row],[TotalPrice]]</f>
        <v>0</v>
      </c>
    </row>
    <row r="41" spans="1:15" x14ac:dyDescent="0.3">
      <c r="A41" s="1" t="s">
        <v>53</v>
      </c>
      <c r="B41" s="2">
        <v>45715</v>
      </c>
      <c r="C41" s="3" t="s">
        <v>1253</v>
      </c>
      <c r="D41" s="1" t="s">
        <v>2407</v>
      </c>
      <c r="E41" s="5">
        <v>3</v>
      </c>
      <c r="F41" s="4">
        <v>256.45999999999998</v>
      </c>
      <c r="G41" s="1" t="s">
        <v>2449</v>
      </c>
      <c r="H41" s="1" t="s">
        <v>3067</v>
      </c>
      <c r="I41" s="1" t="s">
        <v>3073</v>
      </c>
      <c r="J41" s="1" t="s">
        <v>3114</v>
      </c>
      <c r="K41" s="1">
        <v>4</v>
      </c>
      <c r="L41" s="1" t="s">
        <v>4275</v>
      </c>
      <c r="M41" s="1" t="s">
        <v>4279</v>
      </c>
      <c r="N41" s="1">
        <v>769.37999999999988</v>
      </c>
      <c r="O41" s="1">
        <f>(ordersTable[[#This Row],[Quantity]]*ordersTable[[#This Row],[UnitPrice]])-ordersTable[[#This Row],[TotalPrice]]</f>
        <v>0</v>
      </c>
    </row>
    <row r="42" spans="1:15" x14ac:dyDescent="0.3">
      <c r="A42" s="1" t="s">
        <v>54</v>
      </c>
      <c r="B42" s="2">
        <v>45158</v>
      </c>
      <c r="C42" s="3" t="s">
        <v>1254</v>
      </c>
      <c r="D42" s="1" t="s">
        <v>2409</v>
      </c>
      <c r="E42" s="5">
        <v>2</v>
      </c>
      <c r="F42" s="4">
        <v>344.02</v>
      </c>
      <c r="G42" s="1" t="s">
        <v>2450</v>
      </c>
      <c r="H42" s="1" t="s">
        <v>3066</v>
      </c>
      <c r="I42" s="1" t="s">
        <v>3073</v>
      </c>
      <c r="J42" s="1" t="s">
        <v>3115</v>
      </c>
      <c r="K42" s="1">
        <v>4</v>
      </c>
      <c r="L42" s="1" t="s">
        <v>4276</v>
      </c>
      <c r="M42" s="1" t="s">
        <v>4278</v>
      </c>
      <c r="N42" s="1">
        <v>688.04</v>
      </c>
      <c r="O42" s="1">
        <f>(ordersTable[[#This Row],[Quantity]]*ordersTable[[#This Row],[UnitPrice]])-ordersTable[[#This Row],[TotalPrice]]</f>
        <v>0</v>
      </c>
    </row>
    <row r="43" spans="1:15" x14ac:dyDescent="0.3">
      <c r="A43" s="1" t="s">
        <v>55</v>
      </c>
      <c r="B43" s="2">
        <v>45265</v>
      </c>
      <c r="C43" s="3" t="s">
        <v>1255</v>
      </c>
      <c r="D43" s="1" t="s">
        <v>2403</v>
      </c>
      <c r="E43" s="5">
        <v>3</v>
      </c>
      <c r="F43" s="4">
        <v>611.45000000000005</v>
      </c>
      <c r="G43" s="1" t="s">
        <v>2451</v>
      </c>
      <c r="H43" s="1" t="s">
        <v>3068</v>
      </c>
      <c r="I43" s="1" t="s">
        <v>3074</v>
      </c>
      <c r="J43" s="1" t="s">
        <v>3116</v>
      </c>
      <c r="K43" s="1">
        <v>4</v>
      </c>
      <c r="L43" s="1" t="s">
        <v>4276</v>
      </c>
      <c r="M43" s="1" t="s">
        <v>4278</v>
      </c>
      <c r="N43" s="1">
        <v>1834.35</v>
      </c>
      <c r="O43" s="1">
        <f>(ordersTable[[#This Row],[Quantity]]*ordersTable[[#This Row],[UnitPrice]])-ordersTable[[#This Row],[TotalPrice]]</f>
        <v>0</v>
      </c>
    </row>
    <row r="44" spans="1:15" x14ac:dyDescent="0.3">
      <c r="A44" s="1" t="s">
        <v>56</v>
      </c>
      <c r="B44" s="2">
        <v>45418</v>
      </c>
      <c r="C44" s="3" t="s">
        <v>1256</v>
      </c>
      <c r="D44" s="1" t="s">
        <v>2407</v>
      </c>
      <c r="E44" s="5">
        <v>2</v>
      </c>
      <c r="F44" s="4">
        <v>151.66</v>
      </c>
      <c r="G44" s="1" t="s">
        <v>2424</v>
      </c>
      <c r="H44" s="1" t="s">
        <v>3069</v>
      </c>
      <c r="I44" s="1" t="s">
        <v>3071</v>
      </c>
      <c r="J44" s="1" t="s">
        <v>3117</v>
      </c>
      <c r="K44" s="1">
        <v>6</v>
      </c>
      <c r="M44" s="1" t="s">
        <v>4278</v>
      </c>
      <c r="N44" s="1">
        <v>303.32</v>
      </c>
      <c r="O44" s="1">
        <f>(ordersTable[[#This Row],[Quantity]]*ordersTable[[#This Row],[UnitPrice]])-ordersTable[[#This Row],[TotalPrice]]</f>
        <v>0</v>
      </c>
    </row>
    <row r="45" spans="1:15" x14ac:dyDescent="0.3">
      <c r="A45" s="1" t="s">
        <v>57</v>
      </c>
      <c r="B45" s="2">
        <v>45274</v>
      </c>
      <c r="C45" s="3" t="s">
        <v>1257</v>
      </c>
      <c r="D45" s="1" t="s">
        <v>2406</v>
      </c>
      <c r="E45" s="5">
        <v>3</v>
      </c>
      <c r="F45" s="4">
        <v>499.21</v>
      </c>
      <c r="G45" s="1" t="s">
        <v>2452</v>
      </c>
      <c r="H45" s="1" t="s">
        <v>3066</v>
      </c>
      <c r="I45" s="1" t="s">
        <v>3071</v>
      </c>
      <c r="J45" s="1" t="s">
        <v>3118</v>
      </c>
      <c r="K45" s="1">
        <v>8</v>
      </c>
      <c r="M45" s="1" t="s">
        <v>4278</v>
      </c>
      <c r="N45" s="1">
        <v>1497.63</v>
      </c>
      <c r="O45" s="1">
        <f>(ordersTable[[#This Row],[Quantity]]*ordersTable[[#This Row],[UnitPrice]])-ordersTable[[#This Row],[TotalPrice]]</f>
        <v>0</v>
      </c>
    </row>
    <row r="46" spans="1:15" x14ac:dyDescent="0.3">
      <c r="A46" s="1" t="s">
        <v>58</v>
      </c>
      <c r="B46" s="2">
        <v>45768</v>
      </c>
      <c r="C46" s="3" t="s">
        <v>1258</v>
      </c>
      <c r="D46" s="1" t="s">
        <v>2404</v>
      </c>
      <c r="E46" s="5">
        <v>2</v>
      </c>
      <c r="F46" s="4">
        <v>550.17999999999995</v>
      </c>
      <c r="G46" s="1" t="s">
        <v>2441</v>
      </c>
      <c r="H46" s="1" t="s">
        <v>3068</v>
      </c>
      <c r="I46" s="1" t="s">
        <v>3072</v>
      </c>
      <c r="J46" s="1" t="s">
        <v>3119</v>
      </c>
      <c r="K46" s="1">
        <v>3</v>
      </c>
      <c r="L46" s="1" t="s">
        <v>4276</v>
      </c>
      <c r="M46" s="1" t="s">
        <v>4279</v>
      </c>
      <c r="N46" s="1">
        <v>1100.3599999999999</v>
      </c>
      <c r="O46" s="1">
        <f>(ordersTable[[#This Row],[Quantity]]*ordersTable[[#This Row],[UnitPrice]])-ordersTable[[#This Row],[TotalPrice]]</f>
        <v>0</v>
      </c>
    </row>
    <row r="47" spans="1:15" x14ac:dyDescent="0.3">
      <c r="A47" s="1" t="s">
        <v>59</v>
      </c>
      <c r="B47" s="2">
        <v>45332</v>
      </c>
      <c r="C47" s="3" t="s">
        <v>1259</v>
      </c>
      <c r="D47" s="1" t="s">
        <v>2406</v>
      </c>
      <c r="E47" s="5">
        <v>1</v>
      </c>
      <c r="F47" s="4">
        <v>317.25</v>
      </c>
      <c r="G47" s="1" t="s">
        <v>2453</v>
      </c>
      <c r="H47" s="1" t="s">
        <v>3065</v>
      </c>
      <c r="I47" s="1" t="s">
        <v>3072</v>
      </c>
      <c r="J47" s="1" t="s">
        <v>3120</v>
      </c>
      <c r="K47" s="1">
        <v>1</v>
      </c>
      <c r="L47" s="1" t="s">
        <v>4275</v>
      </c>
      <c r="M47" s="1" t="s">
        <v>4281</v>
      </c>
      <c r="N47" s="1">
        <v>317.25</v>
      </c>
      <c r="O47" s="1">
        <f>(ordersTable[[#This Row],[Quantity]]*ordersTable[[#This Row],[UnitPrice]])-ordersTable[[#This Row],[TotalPrice]]</f>
        <v>0</v>
      </c>
    </row>
    <row r="48" spans="1:15" x14ac:dyDescent="0.3">
      <c r="A48" s="1" t="s">
        <v>60</v>
      </c>
      <c r="B48" s="2">
        <v>45469</v>
      </c>
      <c r="C48" s="3" t="s">
        <v>1260</v>
      </c>
      <c r="D48" s="1" t="s">
        <v>2403</v>
      </c>
      <c r="E48" s="5">
        <v>4</v>
      </c>
      <c r="F48" s="4">
        <v>550.14</v>
      </c>
      <c r="G48" s="1" t="s">
        <v>2454</v>
      </c>
      <c r="H48" s="1" t="s">
        <v>3065</v>
      </c>
      <c r="I48" s="1" t="s">
        <v>3074</v>
      </c>
      <c r="J48" s="1" t="s">
        <v>3121</v>
      </c>
      <c r="K48" s="1">
        <v>4</v>
      </c>
      <c r="L48" s="1" t="s">
        <v>4276</v>
      </c>
      <c r="M48" s="1" t="s">
        <v>4278</v>
      </c>
      <c r="N48" s="1">
        <v>2200.56</v>
      </c>
      <c r="O48" s="1">
        <f>(ordersTable[[#This Row],[Quantity]]*ordersTable[[#This Row],[UnitPrice]])-ordersTable[[#This Row],[TotalPrice]]</f>
        <v>0</v>
      </c>
    </row>
    <row r="49" spans="1:15" x14ac:dyDescent="0.3">
      <c r="A49" s="1" t="s">
        <v>61</v>
      </c>
      <c r="B49" s="2">
        <v>45126</v>
      </c>
      <c r="C49" s="3" t="s">
        <v>1261</v>
      </c>
      <c r="D49" s="1" t="s">
        <v>2409</v>
      </c>
      <c r="E49" s="5">
        <v>2</v>
      </c>
      <c r="F49" s="4">
        <v>209.94</v>
      </c>
      <c r="G49" s="1" t="s">
        <v>2455</v>
      </c>
      <c r="H49" s="1" t="s">
        <v>3067</v>
      </c>
      <c r="I49" s="1" t="s">
        <v>3072</v>
      </c>
      <c r="J49" s="1" t="s">
        <v>3122</v>
      </c>
      <c r="K49" s="1">
        <v>3</v>
      </c>
      <c r="L49" s="1" t="s">
        <v>4276</v>
      </c>
      <c r="M49" s="1" t="s">
        <v>4280</v>
      </c>
      <c r="N49" s="1">
        <v>419.88</v>
      </c>
      <c r="O49" s="1">
        <f>(ordersTable[[#This Row],[Quantity]]*ordersTable[[#This Row],[UnitPrice]])-ordersTable[[#This Row],[TotalPrice]]</f>
        <v>0</v>
      </c>
    </row>
    <row r="50" spans="1:15" x14ac:dyDescent="0.3">
      <c r="A50" s="1" t="s">
        <v>62</v>
      </c>
      <c r="B50" s="2">
        <v>45164</v>
      </c>
      <c r="C50" s="3" t="s">
        <v>1262</v>
      </c>
      <c r="D50" s="1" t="s">
        <v>2403</v>
      </c>
      <c r="E50" s="5">
        <v>2</v>
      </c>
      <c r="F50" s="4">
        <v>80.77</v>
      </c>
      <c r="G50" s="1" t="s">
        <v>2456</v>
      </c>
      <c r="H50" s="1" t="s">
        <v>3065</v>
      </c>
      <c r="I50" s="1" t="s">
        <v>3070</v>
      </c>
      <c r="J50" s="1" t="s">
        <v>3123</v>
      </c>
      <c r="K50" s="1">
        <v>4</v>
      </c>
      <c r="M50" s="1" t="s">
        <v>4282</v>
      </c>
      <c r="N50" s="1">
        <v>161.54</v>
      </c>
      <c r="O50" s="1">
        <f>(ordersTable[[#This Row],[Quantity]]*ordersTable[[#This Row],[UnitPrice]])-ordersTable[[#This Row],[TotalPrice]]</f>
        <v>0</v>
      </c>
    </row>
    <row r="51" spans="1:15" x14ac:dyDescent="0.3">
      <c r="A51" s="1" t="s">
        <v>63</v>
      </c>
      <c r="B51" s="2">
        <v>45206</v>
      </c>
      <c r="C51" s="3" t="s">
        <v>1263</v>
      </c>
      <c r="D51" s="1" t="s">
        <v>2407</v>
      </c>
      <c r="E51" s="5">
        <v>1</v>
      </c>
      <c r="F51" s="4">
        <v>30.44</v>
      </c>
      <c r="G51" s="1" t="s">
        <v>2432</v>
      </c>
      <c r="H51" s="1" t="s">
        <v>3067</v>
      </c>
      <c r="I51" s="1" t="s">
        <v>3070</v>
      </c>
      <c r="J51" s="1" t="s">
        <v>3124</v>
      </c>
      <c r="K51" s="1">
        <v>1</v>
      </c>
      <c r="L51" s="1" t="s">
        <v>4275</v>
      </c>
      <c r="M51" s="1" t="s">
        <v>4280</v>
      </c>
      <c r="N51" s="1">
        <v>30.44</v>
      </c>
      <c r="O51" s="1">
        <f>(ordersTable[[#This Row],[Quantity]]*ordersTable[[#This Row],[UnitPrice]])-ordersTable[[#This Row],[TotalPrice]]</f>
        <v>0</v>
      </c>
    </row>
    <row r="52" spans="1:15" x14ac:dyDescent="0.3">
      <c r="A52" s="1" t="s">
        <v>64</v>
      </c>
      <c r="B52" s="2">
        <v>45138</v>
      </c>
      <c r="C52" s="3" t="s">
        <v>1264</v>
      </c>
      <c r="D52" s="1" t="s">
        <v>2405</v>
      </c>
      <c r="E52" s="5">
        <v>1</v>
      </c>
      <c r="F52" s="4">
        <v>179.22</v>
      </c>
      <c r="G52" s="1" t="s">
        <v>2457</v>
      </c>
      <c r="H52" s="1" t="s">
        <v>3066</v>
      </c>
      <c r="I52" s="1" t="s">
        <v>3071</v>
      </c>
      <c r="J52" s="1" t="s">
        <v>3125</v>
      </c>
      <c r="K52" s="1">
        <v>6</v>
      </c>
      <c r="L52" s="1" t="s">
        <v>4276</v>
      </c>
      <c r="M52" s="1" t="s">
        <v>4278</v>
      </c>
      <c r="N52" s="1">
        <v>179.22</v>
      </c>
      <c r="O52" s="1">
        <f>(ordersTable[[#This Row],[Quantity]]*ordersTable[[#This Row],[UnitPrice]])-ordersTable[[#This Row],[TotalPrice]]</f>
        <v>0</v>
      </c>
    </row>
    <row r="53" spans="1:15" x14ac:dyDescent="0.3">
      <c r="A53" s="1" t="s">
        <v>65</v>
      </c>
      <c r="B53" s="2">
        <v>45656</v>
      </c>
      <c r="C53" s="3" t="s">
        <v>1265</v>
      </c>
      <c r="D53" s="1" t="s">
        <v>2405</v>
      </c>
      <c r="E53" s="5">
        <v>1</v>
      </c>
      <c r="F53" s="4">
        <v>388.33</v>
      </c>
      <c r="G53" s="1" t="s">
        <v>2458</v>
      </c>
      <c r="H53" s="1" t="s">
        <v>3069</v>
      </c>
      <c r="I53" s="1" t="s">
        <v>3072</v>
      </c>
      <c r="J53" s="1" t="s">
        <v>3126</v>
      </c>
      <c r="K53" s="1">
        <v>2</v>
      </c>
      <c r="L53" s="1" t="s">
        <v>4275</v>
      </c>
      <c r="M53" s="1" t="s">
        <v>4281</v>
      </c>
      <c r="N53" s="1">
        <v>388.33</v>
      </c>
      <c r="O53" s="1">
        <f>(ordersTable[[#This Row],[Quantity]]*ordersTable[[#This Row],[UnitPrice]])-ordersTable[[#This Row],[TotalPrice]]</f>
        <v>0</v>
      </c>
    </row>
    <row r="54" spans="1:15" x14ac:dyDescent="0.3">
      <c r="A54" s="1" t="s">
        <v>66</v>
      </c>
      <c r="B54" s="2">
        <v>45543</v>
      </c>
      <c r="C54" s="3" t="s">
        <v>1266</v>
      </c>
      <c r="D54" s="1" t="s">
        <v>2405</v>
      </c>
      <c r="E54" s="5">
        <v>1</v>
      </c>
      <c r="F54" s="4">
        <v>586.44000000000005</v>
      </c>
      <c r="G54" s="1" t="s">
        <v>2459</v>
      </c>
      <c r="H54" s="1" t="s">
        <v>3066</v>
      </c>
      <c r="I54" s="1" t="s">
        <v>3072</v>
      </c>
      <c r="J54" s="1" t="s">
        <v>3127</v>
      </c>
      <c r="K54" s="1">
        <v>5</v>
      </c>
      <c r="L54" s="1" t="s">
        <v>4275</v>
      </c>
      <c r="M54" s="1" t="s">
        <v>4281</v>
      </c>
      <c r="N54" s="1">
        <v>586.44000000000005</v>
      </c>
      <c r="O54" s="1">
        <f>(ordersTable[[#This Row],[Quantity]]*ordersTable[[#This Row],[UnitPrice]])-ordersTable[[#This Row],[TotalPrice]]</f>
        <v>0</v>
      </c>
    </row>
    <row r="55" spans="1:15" x14ac:dyDescent="0.3">
      <c r="A55" s="1" t="s">
        <v>67</v>
      </c>
      <c r="B55" s="2">
        <v>45430</v>
      </c>
      <c r="C55" s="3" t="s">
        <v>1267</v>
      </c>
      <c r="D55" s="1" t="s">
        <v>2404</v>
      </c>
      <c r="E55" s="5">
        <v>4</v>
      </c>
      <c r="F55" s="4">
        <v>488.78</v>
      </c>
      <c r="G55" s="1" t="s">
        <v>2412</v>
      </c>
      <c r="H55" s="1" t="s">
        <v>3066</v>
      </c>
      <c r="I55" s="1" t="s">
        <v>3072</v>
      </c>
      <c r="J55" s="1" t="s">
        <v>3128</v>
      </c>
      <c r="K55" s="1">
        <v>5</v>
      </c>
      <c r="L55" s="1" t="s">
        <v>4276</v>
      </c>
      <c r="M55" s="1" t="s">
        <v>4282</v>
      </c>
      <c r="N55" s="1">
        <v>1955.12</v>
      </c>
      <c r="O55" s="1">
        <f>(ordersTable[[#This Row],[Quantity]]*ordersTable[[#This Row],[UnitPrice]])-ordersTable[[#This Row],[TotalPrice]]</f>
        <v>0</v>
      </c>
    </row>
    <row r="56" spans="1:15" x14ac:dyDescent="0.3">
      <c r="A56" s="1" t="s">
        <v>68</v>
      </c>
      <c r="B56" s="2">
        <v>45743</v>
      </c>
      <c r="C56" s="3" t="s">
        <v>1268</v>
      </c>
      <c r="D56" s="1" t="s">
        <v>2406</v>
      </c>
      <c r="E56" s="5">
        <v>1</v>
      </c>
      <c r="F56" s="4">
        <v>280.25</v>
      </c>
      <c r="G56" s="1" t="s">
        <v>2460</v>
      </c>
      <c r="H56" s="1" t="s">
        <v>3066</v>
      </c>
      <c r="I56" s="1" t="s">
        <v>3074</v>
      </c>
      <c r="J56" s="1" t="s">
        <v>3129</v>
      </c>
      <c r="K56" s="1">
        <v>5</v>
      </c>
      <c r="L56" s="1" t="s">
        <v>4277</v>
      </c>
      <c r="M56" s="1" t="s">
        <v>4280</v>
      </c>
      <c r="N56" s="1">
        <v>280.25</v>
      </c>
      <c r="O56" s="1">
        <f>(ordersTable[[#This Row],[Quantity]]*ordersTable[[#This Row],[UnitPrice]])-ordersTable[[#This Row],[TotalPrice]]</f>
        <v>0</v>
      </c>
    </row>
    <row r="57" spans="1:15" x14ac:dyDescent="0.3">
      <c r="A57" s="1" t="s">
        <v>69</v>
      </c>
      <c r="B57" s="2">
        <v>45832</v>
      </c>
      <c r="C57" s="3" t="s">
        <v>1269</v>
      </c>
      <c r="D57" s="1" t="s">
        <v>2407</v>
      </c>
      <c r="E57" s="5">
        <v>3</v>
      </c>
      <c r="F57" s="4">
        <v>344.4</v>
      </c>
      <c r="G57" s="1" t="s">
        <v>2461</v>
      </c>
      <c r="H57" s="1" t="s">
        <v>3066</v>
      </c>
      <c r="I57" s="1" t="s">
        <v>3071</v>
      </c>
      <c r="J57" s="1" t="s">
        <v>3130</v>
      </c>
      <c r="K57" s="1">
        <v>3</v>
      </c>
      <c r="M57" s="1" t="s">
        <v>4281</v>
      </c>
      <c r="N57" s="1">
        <v>1033.2</v>
      </c>
      <c r="O57" s="1">
        <f>(ordersTable[[#This Row],[Quantity]]*ordersTable[[#This Row],[UnitPrice]])-ordersTable[[#This Row],[TotalPrice]]</f>
        <v>0</v>
      </c>
    </row>
    <row r="58" spans="1:15" x14ac:dyDescent="0.3">
      <c r="A58" s="1" t="s">
        <v>70</v>
      </c>
      <c r="B58" s="2">
        <v>45067</v>
      </c>
      <c r="C58" s="3" t="s">
        <v>1270</v>
      </c>
      <c r="D58" s="1" t="s">
        <v>2405</v>
      </c>
      <c r="E58" s="5">
        <v>3</v>
      </c>
      <c r="F58" s="4">
        <v>479.21</v>
      </c>
      <c r="G58" s="1" t="s">
        <v>2462</v>
      </c>
      <c r="H58" s="1" t="s">
        <v>3069</v>
      </c>
      <c r="I58" s="1" t="s">
        <v>3071</v>
      </c>
      <c r="J58" s="1" t="s">
        <v>3131</v>
      </c>
      <c r="K58" s="1">
        <v>5</v>
      </c>
      <c r="L58" s="1" t="s">
        <v>4277</v>
      </c>
      <c r="M58" s="1" t="s">
        <v>4279</v>
      </c>
      <c r="N58" s="1">
        <v>1437.63</v>
      </c>
      <c r="O58" s="1">
        <f>(ordersTable[[#This Row],[Quantity]]*ordersTable[[#This Row],[UnitPrice]])-ordersTable[[#This Row],[TotalPrice]]</f>
        <v>0</v>
      </c>
    </row>
    <row r="59" spans="1:15" x14ac:dyDescent="0.3">
      <c r="A59" s="1" t="s">
        <v>71</v>
      </c>
      <c r="B59" s="2">
        <v>44948</v>
      </c>
      <c r="C59" s="3" t="s">
        <v>1271</v>
      </c>
      <c r="D59" s="1" t="s">
        <v>2407</v>
      </c>
      <c r="E59" s="5">
        <v>5</v>
      </c>
      <c r="F59" s="4">
        <v>314.27</v>
      </c>
      <c r="G59" s="1" t="s">
        <v>2463</v>
      </c>
      <c r="H59" s="1" t="s">
        <v>3069</v>
      </c>
      <c r="I59" s="1" t="s">
        <v>3072</v>
      </c>
      <c r="J59" s="1" t="s">
        <v>3132</v>
      </c>
      <c r="K59" s="1">
        <v>6</v>
      </c>
      <c r="L59" s="1" t="s">
        <v>4275</v>
      </c>
      <c r="M59" s="1" t="s">
        <v>4278</v>
      </c>
      <c r="N59" s="1">
        <v>1571.35</v>
      </c>
      <c r="O59" s="1">
        <f>(ordersTable[[#This Row],[Quantity]]*ordersTable[[#This Row],[UnitPrice]])-ordersTable[[#This Row],[TotalPrice]]</f>
        <v>0</v>
      </c>
    </row>
    <row r="60" spans="1:15" x14ac:dyDescent="0.3">
      <c r="A60" s="1" t="s">
        <v>72</v>
      </c>
      <c r="B60" s="2">
        <v>44941</v>
      </c>
      <c r="C60" s="3" t="s">
        <v>1272</v>
      </c>
      <c r="D60" s="1" t="s">
        <v>2404</v>
      </c>
      <c r="E60" s="5">
        <v>4</v>
      </c>
      <c r="F60" s="4">
        <v>474.69</v>
      </c>
      <c r="G60" s="1" t="s">
        <v>2464</v>
      </c>
      <c r="H60" s="1" t="s">
        <v>3068</v>
      </c>
      <c r="I60" s="1" t="s">
        <v>3071</v>
      </c>
      <c r="J60" s="1" t="s">
        <v>3133</v>
      </c>
      <c r="K60" s="1">
        <v>6</v>
      </c>
      <c r="L60" s="1" t="s">
        <v>4275</v>
      </c>
      <c r="M60" s="1" t="s">
        <v>4282</v>
      </c>
      <c r="N60" s="1">
        <v>1898.76</v>
      </c>
      <c r="O60" s="1">
        <f>(ordersTable[[#This Row],[Quantity]]*ordersTable[[#This Row],[UnitPrice]])-ordersTable[[#This Row],[TotalPrice]]</f>
        <v>0</v>
      </c>
    </row>
    <row r="61" spans="1:15" x14ac:dyDescent="0.3">
      <c r="A61" s="1" t="s">
        <v>73</v>
      </c>
      <c r="B61" s="2">
        <v>45546</v>
      </c>
      <c r="C61" s="3" t="s">
        <v>1273</v>
      </c>
      <c r="D61" s="1" t="s">
        <v>2406</v>
      </c>
      <c r="E61" s="5">
        <v>4</v>
      </c>
      <c r="F61" s="4">
        <v>593.27</v>
      </c>
      <c r="G61" s="1" t="s">
        <v>2465</v>
      </c>
      <c r="H61" s="1" t="s">
        <v>3066</v>
      </c>
      <c r="I61" s="1" t="s">
        <v>3070</v>
      </c>
      <c r="J61" s="1" t="s">
        <v>3134</v>
      </c>
      <c r="K61" s="1">
        <v>5</v>
      </c>
      <c r="M61" s="1" t="s">
        <v>4281</v>
      </c>
      <c r="N61" s="1">
        <v>2373.08</v>
      </c>
      <c r="O61" s="1">
        <f>(ordersTable[[#This Row],[Quantity]]*ordersTable[[#This Row],[UnitPrice]])-ordersTable[[#This Row],[TotalPrice]]</f>
        <v>0</v>
      </c>
    </row>
    <row r="62" spans="1:15" x14ac:dyDescent="0.3">
      <c r="A62" s="1" t="s">
        <v>74</v>
      </c>
      <c r="B62" s="2">
        <v>45525</v>
      </c>
      <c r="C62" s="3" t="s">
        <v>1274</v>
      </c>
      <c r="D62" s="1" t="s">
        <v>2409</v>
      </c>
      <c r="E62" s="5">
        <v>1</v>
      </c>
      <c r="F62" s="4">
        <v>417.1</v>
      </c>
      <c r="G62" s="1" t="s">
        <v>2466</v>
      </c>
      <c r="H62" s="1" t="s">
        <v>3065</v>
      </c>
      <c r="I62" s="1" t="s">
        <v>3072</v>
      </c>
      <c r="J62" s="1" t="s">
        <v>3135</v>
      </c>
      <c r="K62" s="1">
        <v>3</v>
      </c>
      <c r="L62" s="1" t="s">
        <v>4276</v>
      </c>
      <c r="M62" s="1" t="s">
        <v>4279</v>
      </c>
      <c r="N62" s="1">
        <v>417.1</v>
      </c>
      <c r="O62" s="1">
        <f>(ordersTable[[#This Row],[Quantity]]*ordersTable[[#This Row],[UnitPrice]])-ordersTable[[#This Row],[TotalPrice]]</f>
        <v>0</v>
      </c>
    </row>
    <row r="63" spans="1:15" x14ac:dyDescent="0.3">
      <c r="A63" s="1" t="s">
        <v>75</v>
      </c>
      <c r="B63" s="2">
        <v>45375</v>
      </c>
      <c r="C63" s="3" t="s">
        <v>1275</v>
      </c>
      <c r="D63" s="1" t="s">
        <v>2409</v>
      </c>
      <c r="E63" s="5">
        <v>4</v>
      </c>
      <c r="F63" s="4">
        <v>122.2</v>
      </c>
      <c r="G63" s="1" t="s">
        <v>2467</v>
      </c>
      <c r="H63" s="1" t="s">
        <v>3069</v>
      </c>
      <c r="I63" s="1" t="s">
        <v>3073</v>
      </c>
      <c r="J63" s="1" t="s">
        <v>3136</v>
      </c>
      <c r="K63" s="1">
        <v>7</v>
      </c>
      <c r="L63" s="1" t="s">
        <v>4276</v>
      </c>
      <c r="M63" s="1" t="s">
        <v>4281</v>
      </c>
      <c r="N63" s="1">
        <v>488.8</v>
      </c>
      <c r="O63" s="1">
        <f>(ordersTable[[#This Row],[Quantity]]*ordersTable[[#This Row],[UnitPrice]])-ordersTable[[#This Row],[TotalPrice]]</f>
        <v>0</v>
      </c>
    </row>
    <row r="64" spans="1:15" x14ac:dyDescent="0.3">
      <c r="A64" s="1" t="s">
        <v>76</v>
      </c>
      <c r="B64" s="2">
        <v>45160</v>
      </c>
      <c r="C64" s="3" t="s">
        <v>1276</v>
      </c>
      <c r="D64" s="1" t="s">
        <v>2409</v>
      </c>
      <c r="E64" s="5">
        <v>2</v>
      </c>
      <c r="F64" s="4">
        <v>43.15</v>
      </c>
      <c r="G64" s="1" t="s">
        <v>2468</v>
      </c>
      <c r="H64" s="1" t="s">
        <v>3065</v>
      </c>
      <c r="I64" s="1" t="s">
        <v>3074</v>
      </c>
      <c r="J64" s="1" t="s">
        <v>3137</v>
      </c>
      <c r="K64" s="1">
        <v>3</v>
      </c>
      <c r="L64" s="1" t="s">
        <v>4277</v>
      </c>
      <c r="M64" s="1" t="s">
        <v>4280</v>
      </c>
      <c r="N64" s="1">
        <v>86.3</v>
      </c>
      <c r="O64" s="1">
        <f>(ordersTable[[#This Row],[Quantity]]*ordersTable[[#This Row],[UnitPrice]])-ordersTable[[#This Row],[TotalPrice]]</f>
        <v>0</v>
      </c>
    </row>
    <row r="65" spans="1:15" x14ac:dyDescent="0.3">
      <c r="A65" s="1" t="s">
        <v>77</v>
      </c>
      <c r="B65" s="2">
        <v>45690</v>
      </c>
      <c r="C65" s="3" t="s">
        <v>1277</v>
      </c>
      <c r="D65" s="1" t="s">
        <v>2406</v>
      </c>
      <c r="E65" s="5">
        <v>1</v>
      </c>
      <c r="F65" s="4">
        <v>564.86</v>
      </c>
      <c r="G65" s="1" t="s">
        <v>2469</v>
      </c>
      <c r="H65" s="1" t="s">
        <v>3065</v>
      </c>
      <c r="I65" s="1" t="s">
        <v>3070</v>
      </c>
      <c r="J65" s="1" t="s">
        <v>3138</v>
      </c>
      <c r="K65" s="1">
        <v>6</v>
      </c>
      <c r="L65" s="1" t="s">
        <v>4277</v>
      </c>
      <c r="M65" s="1" t="s">
        <v>4279</v>
      </c>
      <c r="N65" s="1">
        <v>564.86</v>
      </c>
      <c r="O65" s="1">
        <f>(ordersTable[[#This Row],[Quantity]]*ordersTable[[#This Row],[UnitPrice]])-ordersTable[[#This Row],[TotalPrice]]</f>
        <v>0</v>
      </c>
    </row>
    <row r="66" spans="1:15" x14ac:dyDescent="0.3">
      <c r="A66" s="1" t="s">
        <v>78</v>
      </c>
      <c r="B66" s="2">
        <v>45833</v>
      </c>
      <c r="C66" s="3" t="s">
        <v>1278</v>
      </c>
      <c r="D66" s="1" t="s">
        <v>2407</v>
      </c>
      <c r="E66" s="5">
        <v>3</v>
      </c>
      <c r="F66" s="4">
        <v>130.61000000000001</v>
      </c>
      <c r="G66" s="1" t="s">
        <v>2470</v>
      </c>
      <c r="H66" s="1" t="s">
        <v>3065</v>
      </c>
      <c r="I66" s="1" t="s">
        <v>3071</v>
      </c>
      <c r="J66" s="1" t="s">
        <v>3139</v>
      </c>
      <c r="K66" s="1">
        <v>4</v>
      </c>
      <c r="L66" s="1" t="s">
        <v>4276</v>
      </c>
      <c r="M66" s="1" t="s">
        <v>4281</v>
      </c>
      <c r="N66" s="1">
        <v>391.83</v>
      </c>
      <c r="O66" s="1">
        <f>(ordersTable[[#This Row],[Quantity]]*ordersTable[[#This Row],[UnitPrice]])-ordersTable[[#This Row],[TotalPrice]]</f>
        <v>0</v>
      </c>
    </row>
    <row r="67" spans="1:15" x14ac:dyDescent="0.3">
      <c r="A67" s="1" t="s">
        <v>79</v>
      </c>
      <c r="B67" s="2">
        <v>45290</v>
      </c>
      <c r="C67" s="3" t="s">
        <v>1279</v>
      </c>
      <c r="D67" s="1" t="s">
        <v>2403</v>
      </c>
      <c r="E67" s="5">
        <v>5</v>
      </c>
      <c r="F67" s="4">
        <v>81.7</v>
      </c>
      <c r="G67" s="1" t="s">
        <v>2471</v>
      </c>
      <c r="H67" s="1" t="s">
        <v>3067</v>
      </c>
      <c r="I67" s="1" t="s">
        <v>3073</v>
      </c>
      <c r="J67" s="1" t="s">
        <v>3140</v>
      </c>
      <c r="K67" s="1">
        <v>6</v>
      </c>
      <c r="M67" s="1" t="s">
        <v>4278</v>
      </c>
      <c r="N67" s="1">
        <v>408.5</v>
      </c>
      <c r="O67" s="1">
        <f>(ordersTable[[#This Row],[Quantity]]*ordersTable[[#This Row],[UnitPrice]])-ordersTable[[#This Row],[TotalPrice]]</f>
        <v>0</v>
      </c>
    </row>
    <row r="68" spans="1:15" x14ac:dyDescent="0.3">
      <c r="A68" s="1" t="s">
        <v>80</v>
      </c>
      <c r="B68" s="2">
        <v>45611</v>
      </c>
      <c r="C68" s="3" t="s">
        <v>1280</v>
      </c>
      <c r="D68" s="1" t="s">
        <v>2406</v>
      </c>
      <c r="E68" s="5">
        <v>5</v>
      </c>
      <c r="F68" s="4">
        <v>127.18</v>
      </c>
      <c r="G68" s="1" t="s">
        <v>2472</v>
      </c>
      <c r="H68" s="1" t="s">
        <v>3069</v>
      </c>
      <c r="I68" s="1" t="s">
        <v>3071</v>
      </c>
      <c r="J68" s="1" t="s">
        <v>3141</v>
      </c>
      <c r="K68" s="1">
        <v>9</v>
      </c>
      <c r="L68" s="1" t="s">
        <v>4275</v>
      </c>
      <c r="M68" s="1" t="s">
        <v>4279</v>
      </c>
      <c r="N68" s="1">
        <v>635.90000000000009</v>
      </c>
      <c r="O68" s="1">
        <f>(ordersTable[[#This Row],[Quantity]]*ordersTable[[#This Row],[UnitPrice]])-ordersTable[[#This Row],[TotalPrice]]</f>
        <v>0</v>
      </c>
    </row>
    <row r="69" spans="1:15" x14ac:dyDescent="0.3">
      <c r="A69" s="1" t="s">
        <v>81</v>
      </c>
      <c r="B69" s="2">
        <v>45635</v>
      </c>
      <c r="C69" s="3" t="s">
        <v>1281</v>
      </c>
      <c r="D69" s="1" t="s">
        <v>2407</v>
      </c>
      <c r="E69" s="5">
        <v>4</v>
      </c>
      <c r="F69" s="4">
        <v>12.1</v>
      </c>
      <c r="G69" s="1" t="s">
        <v>2473</v>
      </c>
      <c r="H69" s="1" t="s">
        <v>3065</v>
      </c>
      <c r="I69" s="1" t="s">
        <v>3071</v>
      </c>
      <c r="J69" s="1" t="s">
        <v>3142</v>
      </c>
      <c r="K69" s="1">
        <v>8</v>
      </c>
      <c r="M69" s="1" t="s">
        <v>4282</v>
      </c>
      <c r="N69" s="1">
        <v>48.4</v>
      </c>
      <c r="O69" s="1">
        <f>(ordersTable[[#This Row],[Quantity]]*ordersTable[[#This Row],[UnitPrice]])-ordersTable[[#This Row],[TotalPrice]]</f>
        <v>0</v>
      </c>
    </row>
    <row r="70" spans="1:15" x14ac:dyDescent="0.3">
      <c r="A70" s="1" t="s">
        <v>82</v>
      </c>
      <c r="B70" s="2">
        <v>45271</v>
      </c>
      <c r="C70" s="3" t="s">
        <v>1282</v>
      </c>
      <c r="D70" s="1" t="s">
        <v>2406</v>
      </c>
      <c r="E70" s="5">
        <v>3</v>
      </c>
      <c r="F70" s="4">
        <v>490.92</v>
      </c>
      <c r="G70" s="1" t="s">
        <v>2435</v>
      </c>
      <c r="H70" s="1" t="s">
        <v>3067</v>
      </c>
      <c r="I70" s="1" t="s">
        <v>3074</v>
      </c>
      <c r="J70" s="1" t="s">
        <v>3143</v>
      </c>
      <c r="K70" s="1">
        <v>5</v>
      </c>
      <c r="L70" s="1" t="s">
        <v>4276</v>
      </c>
      <c r="M70" s="1" t="s">
        <v>4280</v>
      </c>
      <c r="N70" s="1">
        <v>1472.76</v>
      </c>
      <c r="O70" s="1">
        <f>(ordersTable[[#This Row],[Quantity]]*ordersTable[[#This Row],[UnitPrice]])-ordersTable[[#This Row],[TotalPrice]]</f>
        <v>0</v>
      </c>
    </row>
    <row r="71" spans="1:15" x14ac:dyDescent="0.3">
      <c r="A71" s="1" t="s">
        <v>83</v>
      </c>
      <c r="B71" s="2">
        <v>45057</v>
      </c>
      <c r="C71" s="3" t="s">
        <v>1283</v>
      </c>
      <c r="D71" s="1" t="s">
        <v>2403</v>
      </c>
      <c r="E71" s="5">
        <v>3</v>
      </c>
      <c r="F71" s="4">
        <v>478.65</v>
      </c>
      <c r="G71" s="1" t="s">
        <v>2474</v>
      </c>
      <c r="H71" s="1" t="s">
        <v>3066</v>
      </c>
      <c r="I71" s="1" t="s">
        <v>3070</v>
      </c>
      <c r="J71" s="1" t="s">
        <v>3144</v>
      </c>
      <c r="K71" s="1">
        <v>4</v>
      </c>
      <c r="M71" s="1" t="s">
        <v>4279</v>
      </c>
      <c r="N71" s="1">
        <v>1435.95</v>
      </c>
      <c r="O71" s="1">
        <f>(ordersTable[[#This Row],[Quantity]]*ordersTable[[#This Row],[UnitPrice]])-ordersTable[[#This Row],[TotalPrice]]</f>
        <v>0</v>
      </c>
    </row>
    <row r="72" spans="1:15" x14ac:dyDescent="0.3">
      <c r="A72" s="1" t="s">
        <v>84</v>
      </c>
      <c r="B72" s="2">
        <v>45072</v>
      </c>
      <c r="C72" s="3" t="s">
        <v>1284</v>
      </c>
      <c r="D72" s="1" t="s">
        <v>2409</v>
      </c>
      <c r="E72" s="5">
        <v>1</v>
      </c>
      <c r="F72" s="4">
        <v>629.21</v>
      </c>
      <c r="G72" s="1" t="s">
        <v>2475</v>
      </c>
      <c r="H72" s="1" t="s">
        <v>3068</v>
      </c>
      <c r="I72" s="1" t="s">
        <v>3074</v>
      </c>
      <c r="J72" s="1" t="s">
        <v>3145</v>
      </c>
      <c r="K72" s="1">
        <v>2</v>
      </c>
      <c r="L72" s="1" t="s">
        <v>4276</v>
      </c>
      <c r="M72" s="1" t="s">
        <v>4278</v>
      </c>
      <c r="N72" s="1">
        <v>629.21</v>
      </c>
      <c r="O72" s="1">
        <f>(ordersTable[[#This Row],[Quantity]]*ordersTable[[#This Row],[UnitPrice]])-ordersTable[[#This Row],[TotalPrice]]</f>
        <v>0</v>
      </c>
    </row>
    <row r="73" spans="1:15" x14ac:dyDescent="0.3">
      <c r="A73" s="1" t="s">
        <v>85</v>
      </c>
      <c r="B73" s="2">
        <v>45818</v>
      </c>
      <c r="C73" s="3" t="s">
        <v>1285</v>
      </c>
      <c r="D73" s="1" t="s">
        <v>2403</v>
      </c>
      <c r="E73" s="5">
        <v>3</v>
      </c>
      <c r="F73" s="4">
        <v>434.45</v>
      </c>
      <c r="G73" s="1" t="s">
        <v>2476</v>
      </c>
      <c r="H73" s="1" t="s">
        <v>3067</v>
      </c>
      <c r="I73" s="1" t="s">
        <v>3074</v>
      </c>
      <c r="J73" s="1" t="s">
        <v>3146</v>
      </c>
      <c r="K73" s="1">
        <v>4</v>
      </c>
      <c r="M73" s="1" t="s">
        <v>4279</v>
      </c>
      <c r="N73" s="1">
        <v>1303.3499999999999</v>
      </c>
      <c r="O73" s="1">
        <f>(ordersTable[[#This Row],[Quantity]]*ordersTable[[#This Row],[UnitPrice]])-ordersTable[[#This Row],[TotalPrice]]</f>
        <v>0</v>
      </c>
    </row>
    <row r="74" spans="1:15" x14ac:dyDescent="0.3">
      <c r="A74" s="1" t="s">
        <v>86</v>
      </c>
      <c r="B74" s="2">
        <v>45648</v>
      </c>
      <c r="C74" s="3" t="s">
        <v>1286</v>
      </c>
      <c r="D74" s="1" t="s">
        <v>2405</v>
      </c>
      <c r="E74" s="5">
        <v>4</v>
      </c>
      <c r="F74" s="4">
        <v>589.44000000000005</v>
      </c>
      <c r="G74" s="1" t="s">
        <v>2425</v>
      </c>
      <c r="H74" s="1" t="s">
        <v>3068</v>
      </c>
      <c r="I74" s="1" t="s">
        <v>3072</v>
      </c>
      <c r="J74" s="1" t="s">
        <v>3147</v>
      </c>
      <c r="K74" s="1">
        <v>5</v>
      </c>
      <c r="M74" s="1" t="s">
        <v>4281</v>
      </c>
      <c r="N74" s="1">
        <v>2357.7600000000002</v>
      </c>
      <c r="O74" s="1">
        <f>(ordersTable[[#This Row],[Quantity]]*ordersTable[[#This Row],[UnitPrice]])-ordersTable[[#This Row],[TotalPrice]]</f>
        <v>0</v>
      </c>
    </row>
    <row r="75" spans="1:15" x14ac:dyDescent="0.3">
      <c r="A75" s="1" t="s">
        <v>87</v>
      </c>
      <c r="B75" s="2">
        <v>45049</v>
      </c>
      <c r="C75" s="3" t="s">
        <v>1287</v>
      </c>
      <c r="D75" s="1" t="s">
        <v>2403</v>
      </c>
      <c r="E75" s="5">
        <v>4</v>
      </c>
      <c r="F75" s="4">
        <v>433.45</v>
      </c>
      <c r="G75" s="1" t="s">
        <v>2477</v>
      </c>
      <c r="H75" s="1" t="s">
        <v>3068</v>
      </c>
      <c r="I75" s="1" t="s">
        <v>3071</v>
      </c>
      <c r="J75" s="1" t="s">
        <v>3148</v>
      </c>
      <c r="K75" s="1">
        <v>4</v>
      </c>
      <c r="M75" s="1" t="s">
        <v>4281</v>
      </c>
      <c r="N75" s="1">
        <v>1733.8</v>
      </c>
      <c r="O75" s="1">
        <f>(ordersTable[[#This Row],[Quantity]]*ordersTable[[#This Row],[UnitPrice]])-ordersTable[[#This Row],[TotalPrice]]</f>
        <v>0</v>
      </c>
    </row>
    <row r="76" spans="1:15" x14ac:dyDescent="0.3">
      <c r="A76" s="1" t="s">
        <v>88</v>
      </c>
      <c r="B76" s="2">
        <v>45101</v>
      </c>
      <c r="C76" s="3" t="s">
        <v>1288</v>
      </c>
      <c r="D76" s="1" t="s">
        <v>2404</v>
      </c>
      <c r="E76" s="5">
        <v>5</v>
      </c>
      <c r="F76" s="4">
        <v>90.87</v>
      </c>
      <c r="G76" s="1" t="s">
        <v>2478</v>
      </c>
      <c r="H76" s="1" t="s">
        <v>3069</v>
      </c>
      <c r="I76" s="1" t="s">
        <v>3074</v>
      </c>
      <c r="J76" s="1" t="s">
        <v>3149</v>
      </c>
      <c r="K76" s="1">
        <v>5</v>
      </c>
      <c r="M76" s="1" t="s">
        <v>4278</v>
      </c>
      <c r="N76" s="1">
        <v>454.35</v>
      </c>
      <c r="O76" s="1">
        <f>(ordersTable[[#This Row],[Quantity]]*ordersTable[[#This Row],[UnitPrice]])-ordersTable[[#This Row],[TotalPrice]]</f>
        <v>0</v>
      </c>
    </row>
    <row r="77" spans="1:15" x14ac:dyDescent="0.3">
      <c r="A77" s="1" t="s">
        <v>89</v>
      </c>
      <c r="B77" s="2">
        <v>45195</v>
      </c>
      <c r="C77" s="3" t="s">
        <v>1289</v>
      </c>
      <c r="D77" s="1" t="s">
        <v>2405</v>
      </c>
      <c r="E77" s="5">
        <v>3</v>
      </c>
      <c r="F77" s="4">
        <v>398.17</v>
      </c>
      <c r="G77" s="1" t="s">
        <v>2479</v>
      </c>
      <c r="H77" s="1" t="s">
        <v>3065</v>
      </c>
      <c r="I77" s="1" t="s">
        <v>3073</v>
      </c>
      <c r="J77" s="1" t="s">
        <v>3150</v>
      </c>
      <c r="K77" s="1">
        <v>5</v>
      </c>
      <c r="L77" s="1" t="s">
        <v>4275</v>
      </c>
      <c r="M77" s="1" t="s">
        <v>4280</v>
      </c>
      <c r="N77" s="1">
        <v>1194.51</v>
      </c>
      <c r="O77" s="1">
        <f>(ordersTable[[#This Row],[Quantity]]*ordersTable[[#This Row],[UnitPrice]])-ordersTable[[#This Row],[TotalPrice]]</f>
        <v>0</v>
      </c>
    </row>
    <row r="78" spans="1:15" x14ac:dyDescent="0.3">
      <c r="A78" s="1" t="s">
        <v>90</v>
      </c>
      <c r="B78" s="2">
        <v>45382</v>
      </c>
      <c r="C78" s="3" t="s">
        <v>1290</v>
      </c>
      <c r="D78" s="1" t="s">
        <v>2408</v>
      </c>
      <c r="E78" s="5">
        <v>4</v>
      </c>
      <c r="F78" s="4">
        <v>382.88</v>
      </c>
      <c r="G78" s="1" t="s">
        <v>2480</v>
      </c>
      <c r="H78" s="1" t="s">
        <v>3069</v>
      </c>
      <c r="I78" s="1" t="s">
        <v>3071</v>
      </c>
      <c r="J78" s="1" t="s">
        <v>3151</v>
      </c>
      <c r="K78" s="1">
        <v>6</v>
      </c>
      <c r="L78" s="1" t="s">
        <v>4277</v>
      </c>
      <c r="M78" s="1" t="s">
        <v>4280</v>
      </c>
      <c r="N78" s="1">
        <v>1531.52</v>
      </c>
      <c r="O78" s="1">
        <f>(ordersTable[[#This Row],[Quantity]]*ordersTable[[#This Row],[UnitPrice]])-ordersTable[[#This Row],[TotalPrice]]</f>
        <v>0</v>
      </c>
    </row>
    <row r="79" spans="1:15" x14ac:dyDescent="0.3">
      <c r="A79" s="1" t="s">
        <v>91</v>
      </c>
      <c r="B79" s="2">
        <v>45436</v>
      </c>
      <c r="C79" s="3" t="s">
        <v>1291</v>
      </c>
      <c r="D79" s="1" t="s">
        <v>2404</v>
      </c>
      <c r="E79" s="5">
        <v>1</v>
      </c>
      <c r="F79" s="4">
        <v>583.17999999999995</v>
      </c>
      <c r="G79" s="1" t="s">
        <v>2481</v>
      </c>
      <c r="H79" s="1" t="s">
        <v>3067</v>
      </c>
      <c r="I79" s="1" t="s">
        <v>3072</v>
      </c>
      <c r="J79" s="1" t="s">
        <v>3152</v>
      </c>
      <c r="K79" s="1">
        <v>5</v>
      </c>
      <c r="M79" s="1" t="s">
        <v>4282</v>
      </c>
      <c r="N79" s="1">
        <v>583.17999999999995</v>
      </c>
      <c r="O79" s="1">
        <f>(ordersTable[[#This Row],[Quantity]]*ordersTable[[#This Row],[UnitPrice]])-ordersTable[[#This Row],[TotalPrice]]</f>
        <v>0</v>
      </c>
    </row>
    <row r="80" spans="1:15" x14ac:dyDescent="0.3">
      <c r="A80" s="1" t="s">
        <v>92</v>
      </c>
      <c r="B80" s="2">
        <v>45510</v>
      </c>
      <c r="C80" s="3" t="s">
        <v>1292</v>
      </c>
      <c r="D80" s="1" t="s">
        <v>2407</v>
      </c>
      <c r="E80" s="5">
        <v>4</v>
      </c>
      <c r="F80" s="4">
        <v>175.36</v>
      </c>
      <c r="G80" s="1" t="s">
        <v>2482</v>
      </c>
      <c r="H80" s="1" t="s">
        <v>3065</v>
      </c>
      <c r="I80" s="1" t="s">
        <v>3073</v>
      </c>
      <c r="J80" s="1" t="s">
        <v>3153</v>
      </c>
      <c r="K80" s="1">
        <v>4</v>
      </c>
      <c r="L80" s="1" t="s">
        <v>4276</v>
      </c>
      <c r="M80" s="1" t="s">
        <v>4278</v>
      </c>
      <c r="N80" s="1">
        <v>701.44</v>
      </c>
      <c r="O80" s="1">
        <f>(ordersTable[[#This Row],[Quantity]]*ordersTable[[#This Row],[UnitPrice]])-ordersTable[[#This Row],[TotalPrice]]</f>
        <v>0</v>
      </c>
    </row>
    <row r="81" spans="1:15" x14ac:dyDescent="0.3">
      <c r="A81" s="1" t="s">
        <v>93</v>
      </c>
      <c r="B81" s="2">
        <v>45726</v>
      </c>
      <c r="C81" s="3" t="s">
        <v>1293</v>
      </c>
      <c r="D81" s="1" t="s">
        <v>2405</v>
      </c>
      <c r="E81" s="5">
        <v>2</v>
      </c>
      <c r="F81" s="4">
        <v>311.91000000000003</v>
      </c>
      <c r="G81" s="1" t="s">
        <v>2483</v>
      </c>
      <c r="H81" s="1" t="s">
        <v>3066</v>
      </c>
      <c r="I81" s="1" t="s">
        <v>3070</v>
      </c>
      <c r="J81" s="1" t="s">
        <v>3154</v>
      </c>
      <c r="K81" s="1">
        <v>2</v>
      </c>
      <c r="M81" s="1" t="s">
        <v>4281</v>
      </c>
      <c r="N81" s="1">
        <v>623.82000000000005</v>
      </c>
      <c r="O81" s="1">
        <f>(ordersTable[[#This Row],[Quantity]]*ordersTable[[#This Row],[UnitPrice]])-ordersTable[[#This Row],[TotalPrice]]</f>
        <v>0</v>
      </c>
    </row>
    <row r="82" spans="1:15" x14ac:dyDescent="0.3">
      <c r="A82" s="1" t="s">
        <v>94</v>
      </c>
      <c r="B82" s="2">
        <v>45104</v>
      </c>
      <c r="C82" s="3" t="s">
        <v>1294</v>
      </c>
      <c r="D82" s="1" t="s">
        <v>2404</v>
      </c>
      <c r="E82" s="5">
        <v>3</v>
      </c>
      <c r="F82" s="4">
        <v>589.55999999999995</v>
      </c>
      <c r="G82" s="1" t="s">
        <v>2484</v>
      </c>
      <c r="H82" s="1" t="s">
        <v>3066</v>
      </c>
      <c r="I82" s="1" t="s">
        <v>3072</v>
      </c>
      <c r="J82" s="1" t="s">
        <v>3155</v>
      </c>
      <c r="K82" s="1">
        <v>6</v>
      </c>
      <c r="M82" s="1" t="s">
        <v>4281</v>
      </c>
      <c r="N82" s="1">
        <v>1768.68</v>
      </c>
      <c r="O82" s="1">
        <f>(ordersTable[[#This Row],[Quantity]]*ordersTable[[#This Row],[UnitPrice]])-ordersTable[[#This Row],[TotalPrice]]</f>
        <v>0</v>
      </c>
    </row>
    <row r="83" spans="1:15" x14ac:dyDescent="0.3">
      <c r="A83" s="1" t="s">
        <v>95</v>
      </c>
      <c r="B83" s="2">
        <v>45085</v>
      </c>
      <c r="C83" s="3" t="s">
        <v>1295</v>
      </c>
      <c r="D83" s="1" t="s">
        <v>2403</v>
      </c>
      <c r="E83" s="5">
        <v>2</v>
      </c>
      <c r="F83" s="4">
        <v>394.3</v>
      </c>
      <c r="G83" s="1" t="s">
        <v>2485</v>
      </c>
      <c r="H83" s="1" t="s">
        <v>3069</v>
      </c>
      <c r="I83" s="1" t="s">
        <v>3070</v>
      </c>
      <c r="J83" s="1" t="s">
        <v>3156</v>
      </c>
      <c r="K83" s="1">
        <v>6</v>
      </c>
      <c r="L83" s="1" t="s">
        <v>4276</v>
      </c>
      <c r="M83" s="1" t="s">
        <v>4280</v>
      </c>
      <c r="N83" s="1">
        <v>788.6</v>
      </c>
      <c r="O83" s="1">
        <f>(ordersTable[[#This Row],[Quantity]]*ordersTable[[#This Row],[UnitPrice]])-ordersTable[[#This Row],[TotalPrice]]</f>
        <v>0</v>
      </c>
    </row>
    <row r="84" spans="1:15" x14ac:dyDescent="0.3">
      <c r="A84" s="1" t="s">
        <v>96</v>
      </c>
      <c r="B84" s="2">
        <v>45296</v>
      </c>
      <c r="C84" s="3" t="s">
        <v>1296</v>
      </c>
      <c r="D84" s="1" t="s">
        <v>2405</v>
      </c>
      <c r="E84" s="5">
        <v>4</v>
      </c>
      <c r="F84" s="4">
        <v>565.20000000000005</v>
      </c>
      <c r="G84" s="1" t="s">
        <v>2486</v>
      </c>
      <c r="H84" s="1" t="s">
        <v>3065</v>
      </c>
      <c r="I84" s="1" t="s">
        <v>3070</v>
      </c>
      <c r="J84" s="1" t="s">
        <v>3157</v>
      </c>
      <c r="K84" s="1">
        <v>9</v>
      </c>
      <c r="L84" s="1" t="s">
        <v>4275</v>
      </c>
      <c r="M84" s="1" t="s">
        <v>4282</v>
      </c>
      <c r="N84" s="1">
        <v>2260.8000000000002</v>
      </c>
      <c r="O84" s="1">
        <f>(ordersTable[[#This Row],[Quantity]]*ordersTable[[#This Row],[UnitPrice]])-ordersTable[[#This Row],[TotalPrice]]</f>
        <v>0</v>
      </c>
    </row>
    <row r="85" spans="1:15" x14ac:dyDescent="0.3">
      <c r="A85" s="1" t="s">
        <v>97</v>
      </c>
      <c r="B85" s="2">
        <v>45160</v>
      </c>
      <c r="C85" s="3" t="s">
        <v>1297</v>
      </c>
      <c r="D85" s="1" t="s">
        <v>2408</v>
      </c>
      <c r="E85" s="5">
        <v>4</v>
      </c>
      <c r="F85" s="4">
        <v>540.41</v>
      </c>
      <c r="G85" s="1" t="s">
        <v>2487</v>
      </c>
      <c r="H85" s="1" t="s">
        <v>3067</v>
      </c>
      <c r="I85" s="1" t="s">
        <v>3071</v>
      </c>
      <c r="J85" s="1" t="s">
        <v>3158</v>
      </c>
      <c r="K85" s="1">
        <v>6</v>
      </c>
      <c r="M85" s="1" t="s">
        <v>4279</v>
      </c>
      <c r="N85" s="1">
        <v>2161.64</v>
      </c>
      <c r="O85" s="1">
        <f>(ordersTable[[#This Row],[Quantity]]*ordersTable[[#This Row],[UnitPrice]])-ordersTable[[#This Row],[TotalPrice]]</f>
        <v>0</v>
      </c>
    </row>
    <row r="86" spans="1:15" x14ac:dyDescent="0.3">
      <c r="A86" s="1" t="s">
        <v>98</v>
      </c>
      <c r="B86" s="2">
        <v>45166</v>
      </c>
      <c r="C86" s="3" t="s">
        <v>1298</v>
      </c>
      <c r="D86" s="1" t="s">
        <v>2403</v>
      </c>
      <c r="E86" s="5">
        <v>2</v>
      </c>
      <c r="F86" s="4">
        <v>165.49</v>
      </c>
      <c r="G86" s="1" t="s">
        <v>2488</v>
      </c>
      <c r="H86" s="1" t="s">
        <v>3066</v>
      </c>
      <c r="I86" s="1" t="s">
        <v>3070</v>
      </c>
      <c r="J86" s="1" t="s">
        <v>3159</v>
      </c>
      <c r="K86" s="1">
        <v>4</v>
      </c>
      <c r="L86" s="1" t="s">
        <v>4277</v>
      </c>
      <c r="M86" s="1" t="s">
        <v>4278</v>
      </c>
      <c r="N86" s="1">
        <v>330.98</v>
      </c>
      <c r="O86" s="1">
        <f>(ordersTable[[#This Row],[Quantity]]*ordersTable[[#This Row],[UnitPrice]])-ordersTable[[#This Row],[TotalPrice]]</f>
        <v>0</v>
      </c>
    </row>
    <row r="87" spans="1:15" x14ac:dyDescent="0.3">
      <c r="A87" s="1" t="s">
        <v>99</v>
      </c>
      <c r="B87" s="2">
        <v>45544</v>
      </c>
      <c r="C87" s="3" t="s">
        <v>1299</v>
      </c>
      <c r="D87" s="1" t="s">
        <v>2405</v>
      </c>
      <c r="E87" s="5">
        <v>3</v>
      </c>
      <c r="F87" s="4">
        <v>146.72999999999999</v>
      </c>
      <c r="G87" s="1" t="s">
        <v>2489</v>
      </c>
      <c r="H87" s="1" t="s">
        <v>3069</v>
      </c>
      <c r="I87" s="1" t="s">
        <v>3073</v>
      </c>
      <c r="J87" s="1" t="s">
        <v>3160</v>
      </c>
      <c r="K87" s="1">
        <v>8</v>
      </c>
      <c r="L87" s="1" t="s">
        <v>4276</v>
      </c>
      <c r="M87" s="1" t="s">
        <v>4280</v>
      </c>
      <c r="N87" s="1">
        <v>440.18999999999988</v>
      </c>
      <c r="O87" s="1">
        <f>(ordersTable[[#This Row],[Quantity]]*ordersTable[[#This Row],[UnitPrice]])-ordersTable[[#This Row],[TotalPrice]]</f>
        <v>0</v>
      </c>
    </row>
    <row r="88" spans="1:15" x14ac:dyDescent="0.3">
      <c r="A88" s="1" t="s">
        <v>100</v>
      </c>
      <c r="B88" s="2">
        <v>45462</v>
      </c>
      <c r="C88" s="3" t="s">
        <v>1300</v>
      </c>
      <c r="D88" s="1" t="s">
        <v>2407</v>
      </c>
      <c r="E88" s="5">
        <v>5</v>
      </c>
      <c r="F88" s="4">
        <v>643.03</v>
      </c>
      <c r="G88" s="1" t="s">
        <v>2490</v>
      </c>
      <c r="H88" s="1" t="s">
        <v>3066</v>
      </c>
      <c r="I88" s="1" t="s">
        <v>3071</v>
      </c>
      <c r="J88" s="1" t="s">
        <v>3161</v>
      </c>
      <c r="K88" s="1">
        <v>5</v>
      </c>
      <c r="L88" s="1" t="s">
        <v>4276</v>
      </c>
      <c r="M88" s="1" t="s">
        <v>4279</v>
      </c>
      <c r="N88" s="1">
        <v>3215.15</v>
      </c>
      <c r="O88" s="1">
        <f>(ordersTable[[#This Row],[Quantity]]*ordersTable[[#This Row],[UnitPrice]])-ordersTable[[#This Row],[TotalPrice]]</f>
        <v>0</v>
      </c>
    </row>
    <row r="89" spans="1:15" x14ac:dyDescent="0.3">
      <c r="A89" s="1" t="s">
        <v>101</v>
      </c>
      <c r="B89" s="2">
        <v>45575</v>
      </c>
      <c r="C89" s="3" t="s">
        <v>1301</v>
      </c>
      <c r="D89" s="1" t="s">
        <v>2405</v>
      </c>
      <c r="E89" s="5">
        <v>3</v>
      </c>
      <c r="F89" s="4">
        <v>225.11</v>
      </c>
      <c r="G89" s="1" t="s">
        <v>2491</v>
      </c>
      <c r="H89" s="1" t="s">
        <v>3069</v>
      </c>
      <c r="I89" s="1" t="s">
        <v>3070</v>
      </c>
      <c r="J89" s="1" t="s">
        <v>3162</v>
      </c>
      <c r="K89" s="1">
        <v>4</v>
      </c>
      <c r="L89" s="1" t="s">
        <v>4275</v>
      </c>
      <c r="M89" s="1" t="s">
        <v>4281</v>
      </c>
      <c r="N89" s="1">
        <v>675.33</v>
      </c>
      <c r="O89" s="1">
        <f>(ordersTable[[#This Row],[Quantity]]*ordersTable[[#This Row],[UnitPrice]])-ordersTable[[#This Row],[TotalPrice]]</f>
        <v>0</v>
      </c>
    </row>
    <row r="90" spans="1:15" x14ac:dyDescent="0.3">
      <c r="A90" s="1" t="s">
        <v>102</v>
      </c>
      <c r="B90" s="2">
        <v>45813</v>
      </c>
      <c r="C90" s="3" t="s">
        <v>1302</v>
      </c>
      <c r="D90" s="1" t="s">
        <v>2409</v>
      </c>
      <c r="E90" s="5">
        <v>3</v>
      </c>
      <c r="F90" s="4">
        <v>114.81</v>
      </c>
      <c r="G90" s="1" t="s">
        <v>2492</v>
      </c>
      <c r="H90" s="1" t="s">
        <v>3068</v>
      </c>
      <c r="I90" s="1" t="s">
        <v>3071</v>
      </c>
      <c r="J90" s="1" t="s">
        <v>3163</v>
      </c>
      <c r="K90" s="1">
        <v>7</v>
      </c>
      <c r="M90" s="1" t="s">
        <v>4282</v>
      </c>
      <c r="N90" s="1">
        <v>344.43</v>
      </c>
      <c r="O90" s="1">
        <f>(ordersTable[[#This Row],[Quantity]]*ordersTable[[#This Row],[UnitPrice]])-ordersTable[[#This Row],[TotalPrice]]</f>
        <v>0</v>
      </c>
    </row>
    <row r="91" spans="1:15" x14ac:dyDescent="0.3">
      <c r="A91" s="1" t="s">
        <v>103</v>
      </c>
      <c r="B91" s="2">
        <v>45713</v>
      </c>
      <c r="C91" s="3" t="s">
        <v>1303</v>
      </c>
      <c r="D91" s="1" t="s">
        <v>2407</v>
      </c>
      <c r="E91" s="5">
        <v>5</v>
      </c>
      <c r="F91" s="4">
        <v>455.33</v>
      </c>
      <c r="G91" s="1" t="s">
        <v>2493</v>
      </c>
      <c r="H91" s="1" t="s">
        <v>3067</v>
      </c>
      <c r="I91" s="1" t="s">
        <v>3071</v>
      </c>
      <c r="J91" s="1" t="s">
        <v>3164</v>
      </c>
      <c r="K91" s="1">
        <v>8</v>
      </c>
      <c r="L91" s="1" t="s">
        <v>4276</v>
      </c>
      <c r="M91" s="1" t="s">
        <v>4282</v>
      </c>
      <c r="N91" s="1">
        <v>2276.65</v>
      </c>
      <c r="O91" s="1">
        <f>(ordersTable[[#This Row],[Quantity]]*ordersTable[[#This Row],[UnitPrice]])-ordersTable[[#This Row],[TotalPrice]]</f>
        <v>0</v>
      </c>
    </row>
    <row r="92" spans="1:15" x14ac:dyDescent="0.3">
      <c r="A92" s="1" t="s">
        <v>104</v>
      </c>
      <c r="B92" s="2">
        <v>45187</v>
      </c>
      <c r="C92" s="3" t="s">
        <v>1304</v>
      </c>
      <c r="D92" s="1" t="s">
        <v>2406</v>
      </c>
      <c r="E92" s="5">
        <v>4</v>
      </c>
      <c r="F92" s="4">
        <v>182.08</v>
      </c>
      <c r="G92" s="1" t="s">
        <v>2494</v>
      </c>
      <c r="H92" s="1" t="s">
        <v>3068</v>
      </c>
      <c r="I92" s="1" t="s">
        <v>3073</v>
      </c>
      <c r="J92" s="1" t="s">
        <v>3165</v>
      </c>
      <c r="K92" s="1">
        <v>4</v>
      </c>
      <c r="L92" s="1" t="s">
        <v>4275</v>
      </c>
      <c r="M92" s="1" t="s">
        <v>4280</v>
      </c>
      <c r="N92" s="1">
        <v>728.32</v>
      </c>
      <c r="O92" s="1">
        <f>(ordersTable[[#This Row],[Quantity]]*ordersTable[[#This Row],[UnitPrice]])-ordersTable[[#This Row],[TotalPrice]]</f>
        <v>0</v>
      </c>
    </row>
    <row r="93" spans="1:15" x14ac:dyDescent="0.3">
      <c r="A93" s="1" t="s">
        <v>105</v>
      </c>
      <c r="B93" s="2">
        <v>45000</v>
      </c>
      <c r="C93" s="3" t="s">
        <v>1305</v>
      </c>
      <c r="D93" s="1" t="s">
        <v>2408</v>
      </c>
      <c r="E93" s="5">
        <v>5</v>
      </c>
      <c r="F93" s="4">
        <v>492.75</v>
      </c>
      <c r="G93" s="1" t="s">
        <v>2495</v>
      </c>
      <c r="H93" s="1" t="s">
        <v>3069</v>
      </c>
      <c r="I93" s="1" t="s">
        <v>3070</v>
      </c>
      <c r="J93" s="1" t="s">
        <v>3166</v>
      </c>
      <c r="K93" s="1">
        <v>6</v>
      </c>
      <c r="L93" s="1" t="s">
        <v>4277</v>
      </c>
      <c r="M93" s="1" t="s">
        <v>4279</v>
      </c>
      <c r="N93" s="1">
        <v>2463.75</v>
      </c>
      <c r="O93" s="1">
        <f>(ordersTable[[#This Row],[Quantity]]*ordersTable[[#This Row],[UnitPrice]])-ordersTable[[#This Row],[TotalPrice]]</f>
        <v>0</v>
      </c>
    </row>
    <row r="94" spans="1:15" x14ac:dyDescent="0.3">
      <c r="A94" s="1" t="s">
        <v>106</v>
      </c>
      <c r="B94" s="2">
        <v>45453</v>
      </c>
      <c r="C94" s="3" t="s">
        <v>1306</v>
      </c>
      <c r="D94" s="1" t="s">
        <v>2407</v>
      </c>
      <c r="E94" s="5">
        <v>4</v>
      </c>
      <c r="F94" s="4">
        <v>48.61</v>
      </c>
      <c r="G94" s="1" t="s">
        <v>2496</v>
      </c>
      <c r="H94" s="1" t="s">
        <v>3066</v>
      </c>
      <c r="I94" s="1" t="s">
        <v>3070</v>
      </c>
      <c r="J94" s="1" t="s">
        <v>3167</v>
      </c>
      <c r="K94" s="1">
        <v>7</v>
      </c>
      <c r="L94" s="1" t="s">
        <v>4276</v>
      </c>
      <c r="M94" s="1" t="s">
        <v>4281</v>
      </c>
      <c r="N94" s="1">
        <v>194.44</v>
      </c>
      <c r="O94" s="1">
        <f>(ordersTable[[#This Row],[Quantity]]*ordersTable[[#This Row],[UnitPrice]])-ordersTable[[#This Row],[TotalPrice]]</f>
        <v>0</v>
      </c>
    </row>
    <row r="95" spans="1:15" x14ac:dyDescent="0.3">
      <c r="A95" s="1" t="s">
        <v>107</v>
      </c>
      <c r="B95" s="2">
        <v>44940</v>
      </c>
      <c r="C95" s="3" t="s">
        <v>1307</v>
      </c>
      <c r="D95" s="1" t="s">
        <v>2409</v>
      </c>
      <c r="E95" s="5">
        <v>4</v>
      </c>
      <c r="F95" s="4">
        <v>431.01</v>
      </c>
      <c r="G95" s="1" t="s">
        <v>2497</v>
      </c>
      <c r="H95" s="1" t="s">
        <v>3067</v>
      </c>
      <c r="I95" s="1" t="s">
        <v>3072</v>
      </c>
      <c r="J95" s="1" t="s">
        <v>3168</v>
      </c>
      <c r="K95" s="1">
        <v>7</v>
      </c>
      <c r="M95" s="1" t="s">
        <v>4279</v>
      </c>
      <c r="N95" s="1">
        <v>1724.04</v>
      </c>
      <c r="O95" s="1">
        <f>(ordersTable[[#This Row],[Quantity]]*ordersTable[[#This Row],[UnitPrice]])-ordersTable[[#This Row],[TotalPrice]]</f>
        <v>0</v>
      </c>
    </row>
    <row r="96" spans="1:15" x14ac:dyDescent="0.3">
      <c r="A96" s="1" t="s">
        <v>108</v>
      </c>
      <c r="B96" s="2">
        <v>44968</v>
      </c>
      <c r="C96" s="3" t="s">
        <v>1308</v>
      </c>
      <c r="D96" s="1" t="s">
        <v>2406</v>
      </c>
      <c r="E96" s="5">
        <v>1</v>
      </c>
      <c r="F96" s="4">
        <v>531.17999999999995</v>
      </c>
      <c r="G96" s="1" t="s">
        <v>2498</v>
      </c>
      <c r="H96" s="1" t="s">
        <v>3068</v>
      </c>
      <c r="I96" s="1" t="s">
        <v>3072</v>
      </c>
      <c r="J96" s="1" t="s">
        <v>3169</v>
      </c>
      <c r="K96" s="1">
        <v>6</v>
      </c>
      <c r="L96" s="1" t="s">
        <v>4277</v>
      </c>
      <c r="M96" s="1" t="s">
        <v>4278</v>
      </c>
      <c r="N96" s="1">
        <v>531.17999999999995</v>
      </c>
      <c r="O96" s="1">
        <f>(ordersTable[[#This Row],[Quantity]]*ordersTable[[#This Row],[UnitPrice]])-ordersTable[[#This Row],[TotalPrice]]</f>
        <v>0</v>
      </c>
    </row>
    <row r="97" spans="1:15" x14ac:dyDescent="0.3">
      <c r="A97" s="1" t="s">
        <v>109</v>
      </c>
      <c r="B97" s="2">
        <v>45009</v>
      </c>
      <c r="C97" s="3" t="s">
        <v>1309</v>
      </c>
      <c r="D97" s="1" t="s">
        <v>2407</v>
      </c>
      <c r="E97" s="5">
        <v>4</v>
      </c>
      <c r="F97" s="4">
        <v>117.51</v>
      </c>
      <c r="G97" s="1" t="s">
        <v>2499</v>
      </c>
      <c r="H97" s="1" t="s">
        <v>3065</v>
      </c>
      <c r="I97" s="1" t="s">
        <v>3072</v>
      </c>
      <c r="J97" s="1" t="s">
        <v>3170</v>
      </c>
      <c r="K97" s="1">
        <v>7</v>
      </c>
      <c r="M97" s="1" t="s">
        <v>4279</v>
      </c>
      <c r="N97" s="1">
        <v>470.04</v>
      </c>
      <c r="O97" s="1">
        <f>(ordersTable[[#This Row],[Quantity]]*ordersTable[[#This Row],[UnitPrice]])-ordersTable[[#This Row],[TotalPrice]]</f>
        <v>0</v>
      </c>
    </row>
    <row r="98" spans="1:15" x14ac:dyDescent="0.3">
      <c r="A98" s="1" t="s">
        <v>110</v>
      </c>
      <c r="B98" s="2">
        <v>45444</v>
      </c>
      <c r="C98" s="3" t="s">
        <v>1310</v>
      </c>
      <c r="D98" s="1" t="s">
        <v>2404</v>
      </c>
      <c r="E98" s="5">
        <v>2</v>
      </c>
      <c r="F98" s="4">
        <v>232.83</v>
      </c>
      <c r="G98" s="1" t="s">
        <v>2483</v>
      </c>
      <c r="H98" s="1" t="s">
        <v>3068</v>
      </c>
      <c r="I98" s="1" t="s">
        <v>3073</v>
      </c>
      <c r="J98" s="1" t="s">
        <v>3171</v>
      </c>
      <c r="K98" s="1">
        <v>7</v>
      </c>
      <c r="M98" s="1" t="s">
        <v>4278</v>
      </c>
      <c r="N98" s="1">
        <v>465.66</v>
      </c>
      <c r="O98" s="1">
        <f>(ordersTable[[#This Row],[Quantity]]*ordersTable[[#This Row],[UnitPrice]])-ordersTable[[#This Row],[TotalPrice]]</f>
        <v>0</v>
      </c>
    </row>
    <row r="99" spans="1:15" x14ac:dyDescent="0.3">
      <c r="A99" s="1" t="s">
        <v>111</v>
      </c>
      <c r="B99" s="2">
        <v>45678</v>
      </c>
      <c r="C99" s="3" t="s">
        <v>1311</v>
      </c>
      <c r="D99" s="1" t="s">
        <v>2405</v>
      </c>
      <c r="E99" s="5">
        <v>5</v>
      </c>
      <c r="F99" s="4">
        <v>619.52</v>
      </c>
      <c r="G99" s="1" t="s">
        <v>2500</v>
      </c>
      <c r="H99" s="1" t="s">
        <v>3065</v>
      </c>
      <c r="I99" s="1" t="s">
        <v>3074</v>
      </c>
      <c r="J99" s="1" t="s">
        <v>3172</v>
      </c>
      <c r="K99" s="1">
        <v>9</v>
      </c>
      <c r="M99" s="1" t="s">
        <v>4280</v>
      </c>
      <c r="N99" s="1">
        <v>3097.6</v>
      </c>
      <c r="O99" s="1">
        <f>(ordersTable[[#This Row],[Quantity]]*ordersTable[[#This Row],[UnitPrice]])-ordersTable[[#This Row],[TotalPrice]]</f>
        <v>0</v>
      </c>
    </row>
    <row r="100" spans="1:15" x14ac:dyDescent="0.3">
      <c r="A100" s="1" t="s">
        <v>112</v>
      </c>
      <c r="B100" s="2">
        <v>44940</v>
      </c>
      <c r="C100" s="3" t="s">
        <v>1312</v>
      </c>
      <c r="D100" s="1" t="s">
        <v>2407</v>
      </c>
      <c r="E100" s="5">
        <v>2</v>
      </c>
      <c r="F100" s="4">
        <v>228.54</v>
      </c>
      <c r="G100" s="1" t="s">
        <v>2501</v>
      </c>
      <c r="H100" s="1" t="s">
        <v>3065</v>
      </c>
      <c r="I100" s="1" t="s">
        <v>3074</v>
      </c>
      <c r="J100" s="1" t="s">
        <v>3173</v>
      </c>
      <c r="K100" s="1">
        <v>3</v>
      </c>
      <c r="M100" s="1" t="s">
        <v>4280</v>
      </c>
      <c r="N100" s="1">
        <v>457.08</v>
      </c>
      <c r="O100" s="1">
        <f>(ordersTable[[#This Row],[Quantity]]*ordersTable[[#This Row],[UnitPrice]])-ordersTable[[#This Row],[TotalPrice]]</f>
        <v>0</v>
      </c>
    </row>
    <row r="101" spans="1:15" x14ac:dyDescent="0.3">
      <c r="A101" s="1" t="s">
        <v>113</v>
      </c>
      <c r="B101" s="2">
        <v>45759</v>
      </c>
      <c r="C101" s="3" t="s">
        <v>1313</v>
      </c>
      <c r="D101" s="1" t="s">
        <v>2407</v>
      </c>
      <c r="E101" s="5">
        <v>1</v>
      </c>
      <c r="F101" s="4">
        <v>201.58</v>
      </c>
      <c r="G101" s="1" t="s">
        <v>2502</v>
      </c>
      <c r="H101" s="1" t="s">
        <v>3065</v>
      </c>
      <c r="I101" s="1" t="s">
        <v>3071</v>
      </c>
      <c r="J101" s="1" t="s">
        <v>3174</v>
      </c>
      <c r="K101" s="1">
        <v>2</v>
      </c>
      <c r="L101" s="1" t="s">
        <v>4277</v>
      </c>
      <c r="M101" s="1" t="s">
        <v>4280</v>
      </c>
      <c r="N101" s="1">
        <v>201.58</v>
      </c>
      <c r="O101" s="1">
        <f>(ordersTable[[#This Row],[Quantity]]*ordersTable[[#This Row],[UnitPrice]])-ordersTable[[#This Row],[TotalPrice]]</f>
        <v>0</v>
      </c>
    </row>
    <row r="102" spans="1:15" x14ac:dyDescent="0.3">
      <c r="A102" s="1" t="s">
        <v>114</v>
      </c>
      <c r="B102" s="2">
        <v>44974</v>
      </c>
      <c r="C102" s="3" t="s">
        <v>1314</v>
      </c>
      <c r="D102" s="1" t="s">
        <v>2404</v>
      </c>
      <c r="E102" s="5">
        <v>3</v>
      </c>
      <c r="F102" s="4">
        <v>664.79</v>
      </c>
      <c r="G102" s="1" t="s">
        <v>2503</v>
      </c>
      <c r="H102" s="1" t="s">
        <v>3066</v>
      </c>
      <c r="I102" s="1" t="s">
        <v>3073</v>
      </c>
      <c r="J102" s="1" t="s">
        <v>3175</v>
      </c>
      <c r="K102" s="1">
        <v>6</v>
      </c>
      <c r="M102" s="1" t="s">
        <v>4281</v>
      </c>
      <c r="N102" s="1">
        <v>1994.37</v>
      </c>
      <c r="O102" s="1">
        <f>(ordersTable[[#This Row],[Quantity]]*ordersTable[[#This Row],[UnitPrice]])-ordersTable[[#This Row],[TotalPrice]]</f>
        <v>0</v>
      </c>
    </row>
    <row r="103" spans="1:15" x14ac:dyDescent="0.3">
      <c r="A103" s="1" t="s">
        <v>115</v>
      </c>
      <c r="B103" s="2">
        <v>45255</v>
      </c>
      <c r="C103" s="3" t="s">
        <v>1315</v>
      </c>
      <c r="D103" s="1" t="s">
        <v>2407</v>
      </c>
      <c r="E103" s="5">
        <v>1</v>
      </c>
      <c r="F103" s="4">
        <v>381.02</v>
      </c>
      <c r="G103" s="1" t="s">
        <v>2504</v>
      </c>
      <c r="H103" s="1" t="s">
        <v>3069</v>
      </c>
      <c r="I103" s="1" t="s">
        <v>3070</v>
      </c>
      <c r="J103" s="1" t="s">
        <v>3176</v>
      </c>
      <c r="K103" s="1">
        <v>6</v>
      </c>
      <c r="M103" s="1" t="s">
        <v>4282</v>
      </c>
      <c r="N103" s="1">
        <v>381.02</v>
      </c>
      <c r="O103" s="1">
        <f>(ordersTable[[#This Row],[Quantity]]*ordersTable[[#This Row],[UnitPrice]])-ordersTable[[#This Row],[TotalPrice]]</f>
        <v>0</v>
      </c>
    </row>
    <row r="104" spans="1:15" x14ac:dyDescent="0.3">
      <c r="A104" s="1" t="s">
        <v>116</v>
      </c>
      <c r="B104" s="2">
        <v>44993</v>
      </c>
      <c r="C104" s="3" t="s">
        <v>1316</v>
      </c>
      <c r="D104" s="1" t="s">
        <v>2408</v>
      </c>
      <c r="E104" s="5">
        <v>2</v>
      </c>
      <c r="F104" s="4">
        <v>70.34</v>
      </c>
      <c r="G104" s="1" t="s">
        <v>2505</v>
      </c>
      <c r="H104" s="1" t="s">
        <v>3068</v>
      </c>
      <c r="I104" s="1" t="s">
        <v>3071</v>
      </c>
      <c r="J104" s="1" t="s">
        <v>3177</v>
      </c>
      <c r="K104" s="1">
        <v>3</v>
      </c>
      <c r="L104" s="1" t="s">
        <v>4276</v>
      </c>
      <c r="M104" s="1" t="s">
        <v>4280</v>
      </c>
      <c r="N104" s="1">
        <v>140.68</v>
      </c>
      <c r="O104" s="1">
        <f>(ordersTable[[#This Row],[Quantity]]*ordersTable[[#This Row],[UnitPrice]])-ordersTable[[#This Row],[TotalPrice]]</f>
        <v>0</v>
      </c>
    </row>
    <row r="105" spans="1:15" x14ac:dyDescent="0.3">
      <c r="A105" s="1" t="s">
        <v>117</v>
      </c>
      <c r="B105" s="2">
        <v>45682</v>
      </c>
      <c r="C105" s="3" t="s">
        <v>1317</v>
      </c>
      <c r="D105" s="1" t="s">
        <v>2404</v>
      </c>
      <c r="E105" s="5">
        <v>4</v>
      </c>
      <c r="F105" s="4">
        <v>218.43</v>
      </c>
      <c r="G105" s="1" t="s">
        <v>2506</v>
      </c>
      <c r="H105" s="1" t="s">
        <v>3067</v>
      </c>
      <c r="I105" s="1" t="s">
        <v>3071</v>
      </c>
      <c r="J105" s="1" t="s">
        <v>3178</v>
      </c>
      <c r="K105" s="1">
        <v>9</v>
      </c>
      <c r="L105" s="1" t="s">
        <v>4275</v>
      </c>
      <c r="M105" s="1" t="s">
        <v>4280</v>
      </c>
      <c r="N105" s="1">
        <v>873.72</v>
      </c>
      <c r="O105" s="1">
        <f>(ordersTable[[#This Row],[Quantity]]*ordersTable[[#This Row],[UnitPrice]])-ordersTable[[#This Row],[TotalPrice]]</f>
        <v>0</v>
      </c>
    </row>
    <row r="106" spans="1:15" x14ac:dyDescent="0.3">
      <c r="A106" s="1" t="s">
        <v>118</v>
      </c>
      <c r="B106" s="2">
        <v>45503</v>
      </c>
      <c r="C106" s="3" t="s">
        <v>1318</v>
      </c>
      <c r="D106" s="1" t="s">
        <v>2404</v>
      </c>
      <c r="E106" s="5">
        <v>1</v>
      </c>
      <c r="F106" s="4">
        <v>582.04</v>
      </c>
      <c r="G106" s="1" t="s">
        <v>2507</v>
      </c>
      <c r="H106" s="1" t="s">
        <v>3068</v>
      </c>
      <c r="I106" s="1" t="s">
        <v>3073</v>
      </c>
      <c r="J106" s="1" t="s">
        <v>3179</v>
      </c>
      <c r="K106" s="1">
        <v>1</v>
      </c>
      <c r="L106" s="1" t="s">
        <v>4276</v>
      </c>
      <c r="M106" s="1" t="s">
        <v>4280</v>
      </c>
      <c r="N106" s="1">
        <v>582.04</v>
      </c>
      <c r="O106" s="1">
        <f>(ordersTable[[#This Row],[Quantity]]*ordersTable[[#This Row],[UnitPrice]])-ordersTable[[#This Row],[TotalPrice]]</f>
        <v>0</v>
      </c>
    </row>
    <row r="107" spans="1:15" x14ac:dyDescent="0.3">
      <c r="A107" s="1" t="s">
        <v>119</v>
      </c>
      <c r="B107" s="2">
        <v>45589</v>
      </c>
      <c r="C107" s="3" t="s">
        <v>1319</v>
      </c>
      <c r="D107" s="1" t="s">
        <v>2407</v>
      </c>
      <c r="E107" s="5">
        <v>3</v>
      </c>
      <c r="F107" s="4">
        <v>185.4</v>
      </c>
      <c r="G107" s="1" t="s">
        <v>2508</v>
      </c>
      <c r="H107" s="1" t="s">
        <v>3068</v>
      </c>
      <c r="I107" s="1" t="s">
        <v>3071</v>
      </c>
      <c r="J107" s="1" t="s">
        <v>3180</v>
      </c>
      <c r="K107" s="1">
        <v>7</v>
      </c>
      <c r="M107" s="1" t="s">
        <v>4281</v>
      </c>
      <c r="N107" s="1">
        <v>556.20000000000005</v>
      </c>
      <c r="O107" s="1">
        <f>(ordersTable[[#This Row],[Quantity]]*ordersTable[[#This Row],[UnitPrice]])-ordersTable[[#This Row],[TotalPrice]]</f>
        <v>0</v>
      </c>
    </row>
    <row r="108" spans="1:15" x14ac:dyDescent="0.3">
      <c r="A108" s="1" t="s">
        <v>120</v>
      </c>
      <c r="B108" s="2">
        <v>45177</v>
      </c>
      <c r="C108" s="3" t="s">
        <v>1320</v>
      </c>
      <c r="D108" s="1" t="s">
        <v>2409</v>
      </c>
      <c r="E108" s="5">
        <v>3</v>
      </c>
      <c r="F108" s="4">
        <v>465.05</v>
      </c>
      <c r="G108" s="1" t="s">
        <v>2509</v>
      </c>
      <c r="H108" s="1" t="s">
        <v>3067</v>
      </c>
      <c r="I108" s="1" t="s">
        <v>3071</v>
      </c>
      <c r="J108" s="1" t="s">
        <v>3181</v>
      </c>
      <c r="K108" s="1">
        <v>3</v>
      </c>
      <c r="L108" s="1" t="s">
        <v>4275</v>
      </c>
      <c r="M108" s="1" t="s">
        <v>4280</v>
      </c>
      <c r="N108" s="1">
        <v>1395.15</v>
      </c>
      <c r="O108" s="1">
        <f>(ordersTable[[#This Row],[Quantity]]*ordersTable[[#This Row],[UnitPrice]])-ordersTable[[#This Row],[TotalPrice]]</f>
        <v>0</v>
      </c>
    </row>
    <row r="109" spans="1:15" x14ac:dyDescent="0.3">
      <c r="A109" s="1" t="s">
        <v>121</v>
      </c>
      <c r="B109" s="2">
        <v>45012</v>
      </c>
      <c r="C109" s="3" t="s">
        <v>1321</v>
      </c>
      <c r="D109" s="1" t="s">
        <v>2407</v>
      </c>
      <c r="E109" s="5">
        <v>5</v>
      </c>
      <c r="F109" s="4">
        <v>670.75</v>
      </c>
      <c r="G109" s="1" t="s">
        <v>2510</v>
      </c>
      <c r="H109" s="1" t="s">
        <v>3068</v>
      </c>
      <c r="I109" s="1" t="s">
        <v>3070</v>
      </c>
      <c r="J109" s="1" t="s">
        <v>3182</v>
      </c>
      <c r="K109" s="1">
        <v>8</v>
      </c>
      <c r="L109" s="1" t="s">
        <v>4276</v>
      </c>
      <c r="M109" s="1" t="s">
        <v>4278</v>
      </c>
      <c r="N109" s="1">
        <v>3353.75</v>
      </c>
      <c r="O109" s="1">
        <f>(ordersTable[[#This Row],[Quantity]]*ordersTable[[#This Row],[UnitPrice]])-ordersTable[[#This Row],[TotalPrice]]</f>
        <v>0</v>
      </c>
    </row>
    <row r="110" spans="1:15" x14ac:dyDescent="0.3">
      <c r="A110" s="1" t="s">
        <v>122</v>
      </c>
      <c r="B110" s="2">
        <v>45654</v>
      </c>
      <c r="C110" s="3" t="s">
        <v>1322</v>
      </c>
      <c r="D110" s="1" t="s">
        <v>2408</v>
      </c>
      <c r="E110" s="5">
        <v>5</v>
      </c>
      <c r="F110" s="4">
        <v>48.38</v>
      </c>
      <c r="G110" s="1" t="s">
        <v>2511</v>
      </c>
      <c r="H110" s="1" t="s">
        <v>3068</v>
      </c>
      <c r="I110" s="1" t="s">
        <v>3073</v>
      </c>
      <c r="J110" s="1" t="s">
        <v>3183</v>
      </c>
      <c r="K110" s="1">
        <v>9</v>
      </c>
      <c r="L110" s="1" t="s">
        <v>4277</v>
      </c>
      <c r="M110" s="1" t="s">
        <v>4280</v>
      </c>
      <c r="N110" s="1">
        <v>241.9</v>
      </c>
      <c r="O110" s="1">
        <f>(ordersTable[[#This Row],[Quantity]]*ordersTable[[#This Row],[UnitPrice]])-ordersTable[[#This Row],[TotalPrice]]</f>
        <v>0</v>
      </c>
    </row>
    <row r="111" spans="1:15" x14ac:dyDescent="0.3">
      <c r="A111" s="1" t="s">
        <v>123</v>
      </c>
      <c r="B111" s="2">
        <v>45186</v>
      </c>
      <c r="C111" s="3" t="s">
        <v>1323</v>
      </c>
      <c r="D111" s="1" t="s">
        <v>2409</v>
      </c>
      <c r="E111" s="5">
        <v>3</v>
      </c>
      <c r="F111" s="4">
        <v>592.87</v>
      </c>
      <c r="G111" s="1" t="s">
        <v>2512</v>
      </c>
      <c r="H111" s="1" t="s">
        <v>3068</v>
      </c>
      <c r="I111" s="1" t="s">
        <v>3070</v>
      </c>
      <c r="J111" s="1" t="s">
        <v>3184</v>
      </c>
      <c r="K111" s="1">
        <v>3</v>
      </c>
      <c r="L111" s="1" t="s">
        <v>4276</v>
      </c>
      <c r="M111" s="1" t="s">
        <v>4279</v>
      </c>
      <c r="N111" s="1">
        <v>1778.61</v>
      </c>
      <c r="O111" s="1">
        <f>(ordersTable[[#This Row],[Quantity]]*ordersTable[[#This Row],[UnitPrice]])-ordersTable[[#This Row],[TotalPrice]]</f>
        <v>0</v>
      </c>
    </row>
    <row r="112" spans="1:15" x14ac:dyDescent="0.3">
      <c r="A112" s="1" t="s">
        <v>124</v>
      </c>
      <c r="B112" s="2">
        <v>45403</v>
      </c>
      <c r="C112" s="3" t="s">
        <v>1324</v>
      </c>
      <c r="D112" s="1" t="s">
        <v>2405</v>
      </c>
      <c r="E112" s="5">
        <v>1</v>
      </c>
      <c r="F112" s="4">
        <v>220.77</v>
      </c>
      <c r="G112" s="1" t="s">
        <v>2513</v>
      </c>
      <c r="H112" s="1" t="s">
        <v>3068</v>
      </c>
      <c r="I112" s="1" t="s">
        <v>3074</v>
      </c>
      <c r="J112" s="1" t="s">
        <v>3185</v>
      </c>
      <c r="K112" s="1">
        <v>5</v>
      </c>
      <c r="L112" s="1" t="s">
        <v>4276</v>
      </c>
      <c r="M112" s="1" t="s">
        <v>4278</v>
      </c>
      <c r="N112" s="1">
        <v>220.77</v>
      </c>
      <c r="O112" s="1">
        <f>(ordersTable[[#This Row],[Quantity]]*ordersTable[[#This Row],[UnitPrice]])-ordersTable[[#This Row],[TotalPrice]]</f>
        <v>0</v>
      </c>
    </row>
    <row r="113" spans="1:15" x14ac:dyDescent="0.3">
      <c r="A113" s="1" t="s">
        <v>125</v>
      </c>
      <c r="B113" s="2">
        <v>45784</v>
      </c>
      <c r="C113" s="3" t="s">
        <v>1325</v>
      </c>
      <c r="D113" s="1" t="s">
        <v>2409</v>
      </c>
      <c r="E113" s="5">
        <v>3</v>
      </c>
      <c r="F113" s="4">
        <v>309.22000000000003</v>
      </c>
      <c r="G113" s="1" t="s">
        <v>2514</v>
      </c>
      <c r="H113" s="1" t="s">
        <v>3066</v>
      </c>
      <c r="I113" s="1" t="s">
        <v>3071</v>
      </c>
      <c r="J113" s="1" t="s">
        <v>3186</v>
      </c>
      <c r="K113" s="1">
        <v>7</v>
      </c>
      <c r="L113" s="1" t="s">
        <v>4276</v>
      </c>
      <c r="M113" s="1" t="s">
        <v>4282</v>
      </c>
      <c r="N113" s="1">
        <v>927.66000000000008</v>
      </c>
      <c r="O113" s="1">
        <f>(ordersTable[[#This Row],[Quantity]]*ordersTable[[#This Row],[UnitPrice]])-ordersTable[[#This Row],[TotalPrice]]</f>
        <v>0</v>
      </c>
    </row>
    <row r="114" spans="1:15" x14ac:dyDescent="0.3">
      <c r="A114" s="1" t="s">
        <v>126</v>
      </c>
      <c r="B114" s="2">
        <v>44927</v>
      </c>
      <c r="C114" s="3" t="s">
        <v>1326</v>
      </c>
      <c r="D114" s="1" t="s">
        <v>2403</v>
      </c>
      <c r="E114" s="5">
        <v>1</v>
      </c>
      <c r="F114" s="4">
        <v>410.6</v>
      </c>
      <c r="G114" s="1" t="s">
        <v>2515</v>
      </c>
      <c r="H114" s="1" t="s">
        <v>3066</v>
      </c>
      <c r="I114" s="1" t="s">
        <v>3071</v>
      </c>
      <c r="J114" s="1" t="s">
        <v>3187</v>
      </c>
      <c r="K114" s="1">
        <v>2</v>
      </c>
      <c r="L114" s="1" t="s">
        <v>4277</v>
      </c>
      <c r="M114" s="1" t="s">
        <v>4279</v>
      </c>
      <c r="N114" s="1">
        <v>410.6</v>
      </c>
      <c r="O114" s="1">
        <f>(ordersTable[[#This Row],[Quantity]]*ordersTable[[#This Row],[UnitPrice]])-ordersTable[[#This Row],[TotalPrice]]</f>
        <v>0</v>
      </c>
    </row>
    <row r="115" spans="1:15" x14ac:dyDescent="0.3">
      <c r="A115" s="1" t="s">
        <v>127</v>
      </c>
      <c r="B115" s="2">
        <v>45308</v>
      </c>
      <c r="C115" s="3" t="s">
        <v>1327</v>
      </c>
      <c r="D115" s="1" t="s">
        <v>2408</v>
      </c>
      <c r="E115" s="5">
        <v>5</v>
      </c>
      <c r="F115" s="4">
        <v>190.08</v>
      </c>
      <c r="G115" s="1" t="s">
        <v>2516</v>
      </c>
      <c r="H115" s="1" t="s">
        <v>3069</v>
      </c>
      <c r="I115" s="1" t="s">
        <v>3070</v>
      </c>
      <c r="J115" s="1" t="s">
        <v>3188</v>
      </c>
      <c r="K115" s="1">
        <v>9</v>
      </c>
      <c r="L115" s="1" t="s">
        <v>4276</v>
      </c>
      <c r="M115" s="1" t="s">
        <v>4278</v>
      </c>
      <c r="N115" s="1">
        <v>950.40000000000009</v>
      </c>
      <c r="O115" s="1">
        <f>(ordersTable[[#This Row],[Quantity]]*ordersTable[[#This Row],[UnitPrice]])-ordersTable[[#This Row],[TotalPrice]]</f>
        <v>0</v>
      </c>
    </row>
    <row r="116" spans="1:15" x14ac:dyDescent="0.3">
      <c r="A116" s="1" t="s">
        <v>128</v>
      </c>
      <c r="B116" s="2">
        <v>45684</v>
      </c>
      <c r="C116" s="3" t="s">
        <v>1328</v>
      </c>
      <c r="D116" s="1" t="s">
        <v>2403</v>
      </c>
      <c r="E116" s="5">
        <v>5</v>
      </c>
      <c r="F116" s="4">
        <v>498.48</v>
      </c>
      <c r="G116" s="1" t="s">
        <v>2517</v>
      </c>
      <c r="H116" s="1" t="s">
        <v>3066</v>
      </c>
      <c r="I116" s="1" t="s">
        <v>3074</v>
      </c>
      <c r="J116" s="1" t="s">
        <v>3189</v>
      </c>
      <c r="K116" s="1">
        <v>8</v>
      </c>
      <c r="L116" s="1" t="s">
        <v>4275</v>
      </c>
      <c r="M116" s="1" t="s">
        <v>4282</v>
      </c>
      <c r="N116" s="1">
        <v>2492.4</v>
      </c>
      <c r="O116" s="1">
        <f>(ordersTable[[#This Row],[Quantity]]*ordersTable[[#This Row],[UnitPrice]])-ordersTable[[#This Row],[TotalPrice]]</f>
        <v>0</v>
      </c>
    </row>
    <row r="117" spans="1:15" x14ac:dyDescent="0.3">
      <c r="A117" s="1" t="s">
        <v>129</v>
      </c>
      <c r="B117" s="2">
        <v>45257</v>
      </c>
      <c r="C117" s="3" t="s">
        <v>1329</v>
      </c>
      <c r="D117" s="1" t="s">
        <v>2404</v>
      </c>
      <c r="E117" s="5">
        <v>5</v>
      </c>
      <c r="F117" s="4">
        <v>374.99</v>
      </c>
      <c r="G117" s="1" t="s">
        <v>2518</v>
      </c>
      <c r="H117" s="1" t="s">
        <v>3066</v>
      </c>
      <c r="I117" s="1" t="s">
        <v>3070</v>
      </c>
      <c r="J117" s="1" t="s">
        <v>3190</v>
      </c>
      <c r="K117" s="1">
        <v>9</v>
      </c>
      <c r="L117" s="1" t="s">
        <v>4275</v>
      </c>
      <c r="M117" s="1" t="s">
        <v>4281</v>
      </c>
      <c r="N117" s="1">
        <v>1874.95</v>
      </c>
      <c r="O117" s="1">
        <f>(ordersTable[[#This Row],[Quantity]]*ordersTable[[#This Row],[UnitPrice]])-ordersTable[[#This Row],[TotalPrice]]</f>
        <v>0</v>
      </c>
    </row>
    <row r="118" spans="1:15" x14ac:dyDescent="0.3">
      <c r="A118" s="1" t="s">
        <v>130</v>
      </c>
      <c r="B118" s="2">
        <v>45004</v>
      </c>
      <c r="C118" s="3" t="s">
        <v>1330</v>
      </c>
      <c r="D118" s="1" t="s">
        <v>2407</v>
      </c>
      <c r="E118" s="5">
        <v>4</v>
      </c>
      <c r="F118" s="4">
        <v>291.35000000000002</v>
      </c>
      <c r="G118" s="1" t="s">
        <v>2519</v>
      </c>
      <c r="H118" s="1" t="s">
        <v>3067</v>
      </c>
      <c r="I118" s="1" t="s">
        <v>3071</v>
      </c>
      <c r="J118" s="1" t="s">
        <v>3191</v>
      </c>
      <c r="K118" s="1">
        <v>6</v>
      </c>
      <c r="L118" s="1" t="s">
        <v>4277</v>
      </c>
      <c r="M118" s="1" t="s">
        <v>4281</v>
      </c>
      <c r="N118" s="1">
        <v>1165.4000000000001</v>
      </c>
      <c r="O118" s="1">
        <f>(ordersTable[[#This Row],[Quantity]]*ordersTable[[#This Row],[UnitPrice]])-ordersTable[[#This Row],[TotalPrice]]</f>
        <v>0</v>
      </c>
    </row>
    <row r="119" spans="1:15" x14ac:dyDescent="0.3">
      <c r="A119" s="1" t="s">
        <v>131</v>
      </c>
      <c r="B119" s="2">
        <v>44993</v>
      </c>
      <c r="C119" s="3" t="s">
        <v>1331</v>
      </c>
      <c r="D119" s="1" t="s">
        <v>2405</v>
      </c>
      <c r="E119" s="5">
        <v>1</v>
      </c>
      <c r="F119" s="4">
        <v>535.5</v>
      </c>
      <c r="G119" s="1" t="s">
        <v>2520</v>
      </c>
      <c r="H119" s="1" t="s">
        <v>3068</v>
      </c>
      <c r="I119" s="1" t="s">
        <v>3071</v>
      </c>
      <c r="J119" s="1" t="s">
        <v>3192</v>
      </c>
      <c r="K119" s="1">
        <v>5</v>
      </c>
      <c r="L119" s="1" t="s">
        <v>4277</v>
      </c>
      <c r="M119" s="1" t="s">
        <v>4279</v>
      </c>
      <c r="N119" s="1">
        <v>535.5</v>
      </c>
      <c r="O119" s="1">
        <f>(ordersTable[[#This Row],[Quantity]]*ordersTable[[#This Row],[UnitPrice]])-ordersTable[[#This Row],[TotalPrice]]</f>
        <v>0</v>
      </c>
    </row>
    <row r="120" spans="1:15" x14ac:dyDescent="0.3">
      <c r="A120" s="1" t="s">
        <v>132</v>
      </c>
      <c r="B120" s="2">
        <v>45208</v>
      </c>
      <c r="C120" s="3" t="s">
        <v>1332</v>
      </c>
      <c r="D120" s="1" t="s">
        <v>2407</v>
      </c>
      <c r="E120" s="5">
        <v>5</v>
      </c>
      <c r="F120" s="4">
        <v>502.71</v>
      </c>
      <c r="G120" s="1" t="s">
        <v>2521</v>
      </c>
      <c r="H120" s="1" t="s">
        <v>3068</v>
      </c>
      <c r="I120" s="1" t="s">
        <v>3070</v>
      </c>
      <c r="J120" s="1" t="s">
        <v>3193</v>
      </c>
      <c r="K120" s="1">
        <v>7</v>
      </c>
      <c r="L120" s="1" t="s">
        <v>4276</v>
      </c>
      <c r="M120" s="1" t="s">
        <v>4282</v>
      </c>
      <c r="N120" s="1">
        <v>2513.5500000000002</v>
      </c>
      <c r="O120" s="1">
        <f>(ordersTable[[#This Row],[Quantity]]*ordersTable[[#This Row],[UnitPrice]])-ordersTable[[#This Row],[TotalPrice]]</f>
        <v>0</v>
      </c>
    </row>
    <row r="121" spans="1:15" x14ac:dyDescent="0.3">
      <c r="A121" s="1" t="s">
        <v>133</v>
      </c>
      <c r="B121" s="2">
        <v>45819</v>
      </c>
      <c r="C121" s="3" t="s">
        <v>1333</v>
      </c>
      <c r="D121" s="1" t="s">
        <v>2409</v>
      </c>
      <c r="E121" s="5">
        <v>2</v>
      </c>
      <c r="F121" s="4">
        <v>534.66999999999996</v>
      </c>
      <c r="G121" s="1" t="s">
        <v>2522</v>
      </c>
      <c r="H121" s="1" t="s">
        <v>3065</v>
      </c>
      <c r="I121" s="1" t="s">
        <v>3070</v>
      </c>
      <c r="J121" s="1" t="s">
        <v>3194</v>
      </c>
      <c r="K121" s="1">
        <v>7</v>
      </c>
      <c r="L121" s="1" t="s">
        <v>4276</v>
      </c>
      <c r="M121" s="1" t="s">
        <v>4279</v>
      </c>
      <c r="N121" s="1">
        <v>1069.3399999999999</v>
      </c>
      <c r="O121" s="1">
        <f>(ordersTable[[#This Row],[Quantity]]*ordersTable[[#This Row],[UnitPrice]])-ordersTable[[#This Row],[TotalPrice]]</f>
        <v>0</v>
      </c>
    </row>
    <row r="122" spans="1:15" x14ac:dyDescent="0.3">
      <c r="A122" s="1" t="s">
        <v>134</v>
      </c>
      <c r="B122" s="2">
        <v>45027</v>
      </c>
      <c r="C122" s="3" t="s">
        <v>1334</v>
      </c>
      <c r="D122" s="1" t="s">
        <v>2405</v>
      </c>
      <c r="E122" s="5">
        <v>4</v>
      </c>
      <c r="F122" s="4">
        <v>629.34</v>
      </c>
      <c r="G122" s="1" t="s">
        <v>2416</v>
      </c>
      <c r="H122" s="1" t="s">
        <v>3069</v>
      </c>
      <c r="I122" s="1" t="s">
        <v>3071</v>
      </c>
      <c r="J122" s="1" t="s">
        <v>3195</v>
      </c>
      <c r="K122" s="1">
        <v>4</v>
      </c>
      <c r="L122" s="1" t="s">
        <v>4277</v>
      </c>
      <c r="M122" s="1" t="s">
        <v>4278</v>
      </c>
      <c r="N122" s="1">
        <v>2517.36</v>
      </c>
      <c r="O122" s="1">
        <f>(ordersTable[[#This Row],[Quantity]]*ordersTable[[#This Row],[UnitPrice]])-ordersTable[[#This Row],[TotalPrice]]</f>
        <v>0</v>
      </c>
    </row>
    <row r="123" spans="1:15" x14ac:dyDescent="0.3">
      <c r="A123" s="1" t="s">
        <v>135</v>
      </c>
      <c r="B123" s="2">
        <v>45260</v>
      </c>
      <c r="C123" s="3" t="s">
        <v>1335</v>
      </c>
      <c r="D123" s="1" t="s">
        <v>2409</v>
      </c>
      <c r="E123" s="5">
        <v>1</v>
      </c>
      <c r="F123" s="4">
        <v>410.78</v>
      </c>
      <c r="G123" s="1" t="s">
        <v>2523</v>
      </c>
      <c r="H123" s="1" t="s">
        <v>3069</v>
      </c>
      <c r="I123" s="1" t="s">
        <v>3071</v>
      </c>
      <c r="J123" s="1" t="s">
        <v>3196</v>
      </c>
      <c r="K123" s="1">
        <v>1</v>
      </c>
      <c r="L123" s="1" t="s">
        <v>4276</v>
      </c>
      <c r="M123" s="1" t="s">
        <v>4278</v>
      </c>
      <c r="N123" s="1">
        <v>410.78</v>
      </c>
      <c r="O123" s="1">
        <f>(ordersTable[[#This Row],[Quantity]]*ordersTable[[#This Row],[UnitPrice]])-ordersTable[[#This Row],[TotalPrice]]</f>
        <v>0</v>
      </c>
    </row>
    <row r="124" spans="1:15" x14ac:dyDescent="0.3">
      <c r="A124" s="1" t="s">
        <v>136</v>
      </c>
      <c r="B124" s="2">
        <v>45397</v>
      </c>
      <c r="C124" s="3" t="s">
        <v>1336</v>
      </c>
      <c r="D124" s="1" t="s">
        <v>2408</v>
      </c>
      <c r="E124" s="5">
        <v>2</v>
      </c>
      <c r="F124" s="4">
        <v>533.02</v>
      </c>
      <c r="G124" s="1" t="s">
        <v>2524</v>
      </c>
      <c r="H124" s="1" t="s">
        <v>3068</v>
      </c>
      <c r="I124" s="1" t="s">
        <v>3070</v>
      </c>
      <c r="J124" s="1" t="s">
        <v>3197</v>
      </c>
      <c r="K124" s="1">
        <v>2</v>
      </c>
      <c r="M124" s="1" t="s">
        <v>4281</v>
      </c>
      <c r="N124" s="1">
        <v>1066.04</v>
      </c>
      <c r="O124" s="1">
        <f>(ordersTable[[#This Row],[Quantity]]*ordersTable[[#This Row],[UnitPrice]])-ordersTable[[#This Row],[TotalPrice]]</f>
        <v>0</v>
      </c>
    </row>
    <row r="125" spans="1:15" x14ac:dyDescent="0.3">
      <c r="A125" s="1" t="s">
        <v>137</v>
      </c>
      <c r="B125" s="2">
        <v>45113</v>
      </c>
      <c r="C125" s="3" t="s">
        <v>1337</v>
      </c>
      <c r="D125" s="1" t="s">
        <v>2409</v>
      </c>
      <c r="E125" s="5">
        <v>3</v>
      </c>
      <c r="F125" s="4">
        <v>278.04000000000002</v>
      </c>
      <c r="G125" s="1" t="s">
        <v>2525</v>
      </c>
      <c r="H125" s="1" t="s">
        <v>3066</v>
      </c>
      <c r="I125" s="1" t="s">
        <v>3073</v>
      </c>
      <c r="J125" s="1" t="s">
        <v>3198</v>
      </c>
      <c r="K125" s="1">
        <v>5</v>
      </c>
      <c r="M125" s="1" t="s">
        <v>4278</v>
      </c>
      <c r="N125" s="1">
        <v>834.12000000000012</v>
      </c>
      <c r="O125" s="1">
        <f>(ordersTable[[#This Row],[Quantity]]*ordersTable[[#This Row],[UnitPrice]])-ordersTable[[#This Row],[TotalPrice]]</f>
        <v>0</v>
      </c>
    </row>
    <row r="126" spans="1:15" x14ac:dyDescent="0.3">
      <c r="A126" s="1" t="s">
        <v>138</v>
      </c>
      <c r="B126" s="2">
        <v>45501</v>
      </c>
      <c r="C126" s="3" t="s">
        <v>1338</v>
      </c>
      <c r="D126" s="1" t="s">
        <v>2407</v>
      </c>
      <c r="E126" s="5">
        <v>4</v>
      </c>
      <c r="F126" s="4">
        <v>283.79000000000002</v>
      </c>
      <c r="G126" s="1" t="s">
        <v>2526</v>
      </c>
      <c r="H126" s="1" t="s">
        <v>3066</v>
      </c>
      <c r="I126" s="1" t="s">
        <v>3074</v>
      </c>
      <c r="J126" s="1" t="s">
        <v>3199</v>
      </c>
      <c r="K126" s="1">
        <v>8</v>
      </c>
      <c r="M126" s="1" t="s">
        <v>4282</v>
      </c>
      <c r="N126" s="1">
        <v>1135.1600000000001</v>
      </c>
      <c r="O126" s="1">
        <f>(ordersTable[[#This Row],[Quantity]]*ordersTable[[#This Row],[UnitPrice]])-ordersTable[[#This Row],[TotalPrice]]</f>
        <v>0</v>
      </c>
    </row>
    <row r="127" spans="1:15" x14ac:dyDescent="0.3">
      <c r="A127" s="1" t="s">
        <v>139</v>
      </c>
      <c r="B127" s="2">
        <v>45602</v>
      </c>
      <c r="C127" s="3" t="s">
        <v>1339</v>
      </c>
      <c r="D127" s="1" t="s">
        <v>2404</v>
      </c>
      <c r="E127" s="5">
        <v>2</v>
      </c>
      <c r="F127" s="4">
        <v>512.65</v>
      </c>
      <c r="G127" s="1" t="s">
        <v>2527</v>
      </c>
      <c r="H127" s="1" t="s">
        <v>3067</v>
      </c>
      <c r="I127" s="1" t="s">
        <v>3070</v>
      </c>
      <c r="J127" s="1" t="s">
        <v>3200</v>
      </c>
      <c r="K127" s="1">
        <v>5</v>
      </c>
      <c r="L127" s="1" t="s">
        <v>4275</v>
      </c>
      <c r="M127" s="1" t="s">
        <v>4280</v>
      </c>
      <c r="N127" s="1">
        <v>1025.3</v>
      </c>
      <c r="O127" s="1">
        <f>(ordersTable[[#This Row],[Quantity]]*ordersTable[[#This Row],[UnitPrice]])-ordersTable[[#This Row],[TotalPrice]]</f>
        <v>0</v>
      </c>
    </row>
    <row r="128" spans="1:15" x14ac:dyDescent="0.3">
      <c r="A128" s="1" t="s">
        <v>140</v>
      </c>
      <c r="B128" s="2">
        <v>45780</v>
      </c>
      <c r="C128" s="3" t="s">
        <v>1340</v>
      </c>
      <c r="D128" s="1" t="s">
        <v>2409</v>
      </c>
      <c r="E128" s="5">
        <v>4</v>
      </c>
      <c r="F128" s="4">
        <v>275.5</v>
      </c>
      <c r="G128" s="1" t="s">
        <v>2528</v>
      </c>
      <c r="H128" s="1" t="s">
        <v>3068</v>
      </c>
      <c r="I128" s="1" t="s">
        <v>3070</v>
      </c>
      <c r="J128" s="1" t="s">
        <v>3201</v>
      </c>
      <c r="K128" s="1">
        <v>8</v>
      </c>
      <c r="L128" s="1" t="s">
        <v>4276</v>
      </c>
      <c r="M128" s="1" t="s">
        <v>4282</v>
      </c>
      <c r="N128" s="1">
        <v>1102</v>
      </c>
      <c r="O128" s="1">
        <f>(ordersTable[[#This Row],[Quantity]]*ordersTable[[#This Row],[UnitPrice]])-ordersTable[[#This Row],[TotalPrice]]</f>
        <v>0</v>
      </c>
    </row>
    <row r="129" spans="1:15" x14ac:dyDescent="0.3">
      <c r="A129" s="1" t="s">
        <v>141</v>
      </c>
      <c r="B129" s="2">
        <v>45148</v>
      </c>
      <c r="C129" s="3" t="s">
        <v>1341</v>
      </c>
      <c r="D129" s="1" t="s">
        <v>2409</v>
      </c>
      <c r="E129" s="5">
        <v>3</v>
      </c>
      <c r="F129" s="4">
        <v>469.32</v>
      </c>
      <c r="G129" s="1" t="s">
        <v>2529</v>
      </c>
      <c r="H129" s="1" t="s">
        <v>3065</v>
      </c>
      <c r="I129" s="1" t="s">
        <v>3070</v>
      </c>
      <c r="J129" s="1" t="s">
        <v>3202</v>
      </c>
      <c r="K129" s="1">
        <v>3</v>
      </c>
      <c r="M129" s="1" t="s">
        <v>4282</v>
      </c>
      <c r="N129" s="1">
        <v>1407.96</v>
      </c>
      <c r="O129" s="1">
        <f>(ordersTable[[#This Row],[Quantity]]*ordersTable[[#This Row],[UnitPrice]])-ordersTable[[#This Row],[TotalPrice]]</f>
        <v>0</v>
      </c>
    </row>
    <row r="130" spans="1:15" x14ac:dyDescent="0.3">
      <c r="A130" s="1" t="s">
        <v>142</v>
      </c>
      <c r="B130" s="2">
        <v>44974</v>
      </c>
      <c r="C130" s="3" t="s">
        <v>1342</v>
      </c>
      <c r="D130" s="1" t="s">
        <v>2405</v>
      </c>
      <c r="E130" s="5">
        <v>4</v>
      </c>
      <c r="F130" s="4">
        <v>21.07</v>
      </c>
      <c r="G130" s="1" t="s">
        <v>2530</v>
      </c>
      <c r="H130" s="1" t="s">
        <v>3068</v>
      </c>
      <c r="I130" s="1" t="s">
        <v>3073</v>
      </c>
      <c r="J130" s="1" t="s">
        <v>3203</v>
      </c>
      <c r="K130" s="1">
        <v>4</v>
      </c>
      <c r="L130" s="1" t="s">
        <v>4276</v>
      </c>
      <c r="M130" s="1" t="s">
        <v>4282</v>
      </c>
      <c r="N130" s="1">
        <v>84.28</v>
      </c>
      <c r="O130" s="1">
        <f>(ordersTable[[#This Row],[Quantity]]*ordersTable[[#This Row],[UnitPrice]])-ordersTable[[#This Row],[TotalPrice]]</f>
        <v>0</v>
      </c>
    </row>
    <row r="131" spans="1:15" x14ac:dyDescent="0.3">
      <c r="A131" s="1" t="s">
        <v>143</v>
      </c>
      <c r="B131" s="2">
        <v>45226</v>
      </c>
      <c r="C131" s="3" t="s">
        <v>1343</v>
      </c>
      <c r="D131" s="1" t="s">
        <v>2408</v>
      </c>
      <c r="E131" s="5">
        <v>4</v>
      </c>
      <c r="F131" s="4">
        <v>263.93</v>
      </c>
      <c r="G131" s="1" t="s">
        <v>2531</v>
      </c>
      <c r="H131" s="1" t="s">
        <v>3065</v>
      </c>
      <c r="I131" s="1" t="s">
        <v>3070</v>
      </c>
      <c r="J131" s="1" t="s">
        <v>3204</v>
      </c>
      <c r="K131" s="1">
        <v>4</v>
      </c>
      <c r="L131" s="1" t="s">
        <v>4276</v>
      </c>
      <c r="M131" s="1" t="s">
        <v>4281</v>
      </c>
      <c r="N131" s="1">
        <v>1055.72</v>
      </c>
      <c r="O131" s="1">
        <f>(ordersTable[[#This Row],[Quantity]]*ordersTable[[#This Row],[UnitPrice]])-ordersTable[[#This Row],[TotalPrice]]</f>
        <v>0</v>
      </c>
    </row>
    <row r="132" spans="1:15" x14ac:dyDescent="0.3">
      <c r="A132" s="1" t="s">
        <v>144</v>
      </c>
      <c r="B132" s="2">
        <v>45679</v>
      </c>
      <c r="C132" s="3" t="s">
        <v>1344</v>
      </c>
      <c r="D132" s="1" t="s">
        <v>2409</v>
      </c>
      <c r="E132" s="5">
        <v>3</v>
      </c>
      <c r="F132" s="4">
        <v>501.3</v>
      </c>
      <c r="G132" s="1" t="s">
        <v>2532</v>
      </c>
      <c r="H132" s="1" t="s">
        <v>3066</v>
      </c>
      <c r="I132" s="1" t="s">
        <v>3071</v>
      </c>
      <c r="J132" s="1" t="s">
        <v>3205</v>
      </c>
      <c r="K132" s="1">
        <v>3</v>
      </c>
      <c r="L132" s="1" t="s">
        <v>4277</v>
      </c>
      <c r="M132" s="1" t="s">
        <v>4281</v>
      </c>
      <c r="N132" s="1">
        <v>1503.9</v>
      </c>
      <c r="O132" s="1">
        <f>(ordersTable[[#This Row],[Quantity]]*ordersTable[[#This Row],[UnitPrice]])-ordersTable[[#This Row],[TotalPrice]]</f>
        <v>0</v>
      </c>
    </row>
    <row r="133" spans="1:15" x14ac:dyDescent="0.3">
      <c r="A133" s="1" t="s">
        <v>145</v>
      </c>
      <c r="B133" s="2">
        <v>44934</v>
      </c>
      <c r="C133" s="3" t="s">
        <v>1345</v>
      </c>
      <c r="D133" s="1" t="s">
        <v>2405</v>
      </c>
      <c r="E133" s="5">
        <v>1</v>
      </c>
      <c r="F133" s="4">
        <v>84.8</v>
      </c>
      <c r="G133" s="1" t="s">
        <v>2533</v>
      </c>
      <c r="H133" s="1" t="s">
        <v>3068</v>
      </c>
      <c r="I133" s="1" t="s">
        <v>3074</v>
      </c>
      <c r="J133" s="1" t="s">
        <v>3206</v>
      </c>
      <c r="K133" s="1">
        <v>5</v>
      </c>
      <c r="M133" s="1" t="s">
        <v>4278</v>
      </c>
      <c r="N133" s="1">
        <v>84.8</v>
      </c>
      <c r="O133" s="1">
        <f>(ordersTable[[#This Row],[Quantity]]*ordersTable[[#This Row],[UnitPrice]])-ordersTable[[#This Row],[TotalPrice]]</f>
        <v>0</v>
      </c>
    </row>
    <row r="134" spans="1:15" x14ac:dyDescent="0.3">
      <c r="A134" s="1" t="s">
        <v>146</v>
      </c>
      <c r="B134" s="2">
        <v>45013</v>
      </c>
      <c r="C134" s="3" t="s">
        <v>1346</v>
      </c>
      <c r="D134" s="1" t="s">
        <v>2405</v>
      </c>
      <c r="E134" s="5">
        <v>4</v>
      </c>
      <c r="F134" s="4">
        <v>450.75</v>
      </c>
      <c r="G134" s="1" t="s">
        <v>2534</v>
      </c>
      <c r="H134" s="1" t="s">
        <v>3067</v>
      </c>
      <c r="I134" s="1" t="s">
        <v>3070</v>
      </c>
      <c r="J134" s="1" t="s">
        <v>3207</v>
      </c>
      <c r="K134" s="1">
        <v>6</v>
      </c>
      <c r="L134" s="1" t="s">
        <v>4277</v>
      </c>
      <c r="M134" s="1" t="s">
        <v>4280</v>
      </c>
      <c r="N134" s="1">
        <v>1803</v>
      </c>
      <c r="O134" s="1">
        <f>(ordersTable[[#This Row],[Quantity]]*ordersTable[[#This Row],[UnitPrice]])-ordersTable[[#This Row],[TotalPrice]]</f>
        <v>0</v>
      </c>
    </row>
    <row r="135" spans="1:15" x14ac:dyDescent="0.3">
      <c r="A135" s="1" t="s">
        <v>147</v>
      </c>
      <c r="B135" s="2">
        <v>45828</v>
      </c>
      <c r="C135" s="3" t="s">
        <v>1347</v>
      </c>
      <c r="D135" s="1" t="s">
        <v>2406</v>
      </c>
      <c r="E135" s="5">
        <v>4</v>
      </c>
      <c r="F135" s="4">
        <v>302.05</v>
      </c>
      <c r="G135" s="1" t="s">
        <v>2535</v>
      </c>
      <c r="H135" s="1" t="s">
        <v>3065</v>
      </c>
      <c r="I135" s="1" t="s">
        <v>3071</v>
      </c>
      <c r="J135" s="1" t="s">
        <v>3208</v>
      </c>
      <c r="K135" s="1">
        <v>6</v>
      </c>
      <c r="L135" s="1" t="s">
        <v>4275</v>
      </c>
      <c r="M135" s="1" t="s">
        <v>4282</v>
      </c>
      <c r="N135" s="1">
        <v>1208.2</v>
      </c>
      <c r="O135" s="1">
        <f>(ordersTable[[#This Row],[Quantity]]*ordersTable[[#This Row],[UnitPrice]])-ordersTable[[#This Row],[TotalPrice]]</f>
        <v>0</v>
      </c>
    </row>
    <row r="136" spans="1:15" x14ac:dyDescent="0.3">
      <c r="A136" s="1" t="s">
        <v>148</v>
      </c>
      <c r="B136" s="2">
        <v>45831</v>
      </c>
      <c r="C136" s="3" t="s">
        <v>1348</v>
      </c>
      <c r="D136" s="1" t="s">
        <v>2408</v>
      </c>
      <c r="E136" s="5">
        <v>2</v>
      </c>
      <c r="F136" s="4">
        <v>199.7</v>
      </c>
      <c r="G136" s="1" t="s">
        <v>2534</v>
      </c>
      <c r="H136" s="1" t="s">
        <v>3069</v>
      </c>
      <c r="I136" s="1" t="s">
        <v>3074</v>
      </c>
      <c r="J136" s="1" t="s">
        <v>3209</v>
      </c>
      <c r="K136" s="1">
        <v>4</v>
      </c>
      <c r="M136" s="1" t="s">
        <v>4280</v>
      </c>
      <c r="N136" s="1">
        <v>399.4</v>
      </c>
      <c r="O136" s="1">
        <f>(ordersTable[[#This Row],[Quantity]]*ordersTable[[#This Row],[UnitPrice]])-ordersTable[[#This Row],[TotalPrice]]</f>
        <v>0</v>
      </c>
    </row>
    <row r="137" spans="1:15" x14ac:dyDescent="0.3">
      <c r="A137" s="1" t="s">
        <v>149</v>
      </c>
      <c r="B137" s="2">
        <v>45142</v>
      </c>
      <c r="C137" s="3" t="s">
        <v>1349</v>
      </c>
      <c r="D137" s="1" t="s">
        <v>2407</v>
      </c>
      <c r="E137" s="5">
        <v>2</v>
      </c>
      <c r="F137" s="4">
        <v>68.81</v>
      </c>
      <c r="G137" s="1" t="s">
        <v>2536</v>
      </c>
      <c r="H137" s="1" t="s">
        <v>3068</v>
      </c>
      <c r="I137" s="1" t="s">
        <v>3070</v>
      </c>
      <c r="J137" s="1" t="s">
        <v>3210</v>
      </c>
      <c r="K137" s="1">
        <v>5</v>
      </c>
      <c r="L137" s="1" t="s">
        <v>4275</v>
      </c>
      <c r="M137" s="1" t="s">
        <v>4279</v>
      </c>
      <c r="N137" s="1">
        <v>137.62</v>
      </c>
      <c r="O137" s="1">
        <f>(ordersTable[[#This Row],[Quantity]]*ordersTable[[#This Row],[UnitPrice]])-ordersTable[[#This Row],[TotalPrice]]</f>
        <v>0</v>
      </c>
    </row>
    <row r="138" spans="1:15" x14ac:dyDescent="0.3">
      <c r="A138" s="1" t="s">
        <v>150</v>
      </c>
      <c r="B138" s="2">
        <v>45409</v>
      </c>
      <c r="C138" s="3" t="s">
        <v>1350</v>
      </c>
      <c r="D138" s="1" t="s">
        <v>2408</v>
      </c>
      <c r="E138" s="5">
        <v>1</v>
      </c>
      <c r="F138" s="4">
        <v>44.35</v>
      </c>
      <c r="G138" s="1" t="s">
        <v>2537</v>
      </c>
      <c r="H138" s="1" t="s">
        <v>3068</v>
      </c>
      <c r="I138" s="1" t="s">
        <v>3071</v>
      </c>
      <c r="J138" s="1" t="s">
        <v>3211</v>
      </c>
      <c r="K138" s="1">
        <v>1</v>
      </c>
      <c r="L138" s="1" t="s">
        <v>4275</v>
      </c>
      <c r="M138" s="1" t="s">
        <v>4278</v>
      </c>
      <c r="N138" s="1">
        <v>44.35</v>
      </c>
      <c r="O138" s="1">
        <f>(ordersTable[[#This Row],[Quantity]]*ordersTable[[#This Row],[UnitPrice]])-ordersTable[[#This Row],[TotalPrice]]</f>
        <v>0</v>
      </c>
    </row>
    <row r="139" spans="1:15" x14ac:dyDescent="0.3">
      <c r="A139" s="1" t="s">
        <v>151</v>
      </c>
      <c r="B139" s="2">
        <v>45622</v>
      </c>
      <c r="C139" s="3" t="s">
        <v>1351</v>
      </c>
      <c r="D139" s="1" t="s">
        <v>2403</v>
      </c>
      <c r="E139" s="5">
        <v>2</v>
      </c>
      <c r="F139" s="4">
        <v>250.98</v>
      </c>
      <c r="G139" s="1" t="s">
        <v>2538</v>
      </c>
      <c r="H139" s="1" t="s">
        <v>3067</v>
      </c>
      <c r="I139" s="1" t="s">
        <v>3073</v>
      </c>
      <c r="J139" s="1" t="s">
        <v>3212</v>
      </c>
      <c r="K139" s="1">
        <v>5</v>
      </c>
      <c r="M139" s="1" t="s">
        <v>4282</v>
      </c>
      <c r="N139" s="1">
        <v>501.96</v>
      </c>
      <c r="O139" s="1">
        <f>(ordersTable[[#This Row],[Quantity]]*ordersTable[[#This Row],[UnitPrice]])-ordersTable[[#This Row],[TotalPrice]]</f>
        <v>0</v>
      </c>
    </row>
    <row r="140" spans="1:15" x14ac:dyDescent="0.3">
      <c r="A140" s="1" t="s">
        <v>152</v>
      </c>
      <c r="B140" s="2">
        <v>45281</v>
      </c>
      <c r="C140" s="3" t="s">
        <v>1352</v>
      </c>
      <c r="D140" s="1" t="s">
        <v>2405</v>
      </c>
      <c r="E140" s="5">
        <v>1</v>
      </c>
      <c r="F140" s="4">
        <v>298.06</v>
      </c>
      <c r="G140" s="1" t="s">
        <v>2539</v>
      </c>
      <c r="H140" s="1" t="s">
        <v>3065</v>
      </c>
      <c r="I140" s="1" t="s">
        <v>3074</v>
      </c>
      <c r="J140" s="1" t="s">
        <v>3213</v>
      </c>
      <c r="K140" s="1">
        <v>3</v>
      </c>
      <c r="L140" s="1" t="s">
        <v>4277</v>
      </c>
      <c r="M140" s="1" t="s">
        <v>4282</v>
      </c>
      <c r="N140" s="1">
        <v>298.06</v>
      </c>
      <c r="O140" s="1">
        <f>(ordersTable[[#This Row],[Quantity]]*ordersTable[[#This Row],[UnitPrice]])-ordersTable[[#This Row],[TotalPrice]]</f>
        <v>0</v>
      </c>
    </row>
    <row r="141" spans="1:15" x14ac:dyDescent="0.3">
      <c r="A141" s="1" t="s">
        <v>153</v>
      </c>
      <c r="B141" s="2">
        <v>45026</v>
      </c>
      <c r="C141" s="3" t="s">
        <v>1353</v>
      </c>
      <c r="D141" s="1" t="s">
        <v>2404</v>
      </c>
      <c r="E141" s="5">
        <v>1</v>
      </c>
      <c r="F141" s="4">
        <v>583.9</v>
      </c>
      <c r="G141" s="1" t="s">
        <v>2540</v>
      </c>
      <c r="H141" s="1" t="s">
        <v>3069</v>
      </c>
      <c r="I141" s="1" t="s">
        <v>3072</v>
      </c>
      <c r="J141" s="1" t="s">
        <v>3214</v>
      </c>
      <c r="K141" s="1">
        <v>1</v>
      </c>
      <c r="M141" s="1" t="s">
        <v>4280</v>
      </c>
      <c r="N141" s="1">
        <v>583.9</v>
      </c>
      <c r="O141" s="1">
        <f>(ordersTable[[#This Row],[Quantity]]*ordersTable[[#This Row],[UnitPrice]])-ordersTable[[#This Row],[TotalPrice]]</f>
        <v>0</v>
      </c>
    </row>
    <row r="142" spans="1:15" x14ac:dyDescent="0.3">
      <c r="A142" s="1" t="s">
        <v>154</v>
      </c>
      <c r="B142" s="2">
        <v>45808</v>
      </c>
      <c r="C142" s="3" t="s">
        <v>1354</v>
      </c>
      <c r="D142" s="1" t="s">
        <v>2406</v>
      </c>
      <c r="E142" s="5">
        <v>3</v>
      </c>
      <c r="F142" s="4">
        <v>528.14</v>
      </c>
      <c r="G142" s="1" t="s">
        <v>2513</v>
      </c>
      <c r="H142" s="1" t="s">
        <v>3066</v>
      </c>
      <c r="I142" s="1" t="s">
        <v>3073</v>
      </c>
      <c r="J142" s="1" t="s">
        <v>3215</v>
      </c>
      <c r="K142" s="1">
        <v>3</v>
      </c>
      <c r="L142" s="1" t="s">
        <v>4276</v>
      </c>
      <c r="M142" s="1" t="s">
        <v>4280</v>
      </c>
      <c r="N142" s="1">
        <v>1584.42</v>
      </c>
      <c r="O142" s="1">
        <f>(ordersTable[[#This Row],[Quantity]]*ordersTable[[#This Row],[UnitPrice]])-ordersTable[[#This Row],[TotalPrice]]</f>
        <v>0</v>
      </c>
    </row>
    <row r="143" spans="1:15" x14ac:dyDescent="0.3">
      <c r="A143" s="1" t="s">
        <v>155</v>
      </c>
      <c r="B143" s="2">
        <v>45248</v>
      </c>
      <c r="C143" s="3" t="s">
        <v>1355</v>
      </c>
      <c r="D143" s="1" t="s">
        <v>2407</v>
      </c>
      <c r="E143" s="5">
        <v>3</v>
      </c>
      <c r="F143" s="4">
        <v>684.14</v>
      </c>
      <c r="G143" s="1" t="s">
        <v>2541</v>
      </c>
      <c r="H143" s="1" t="s">
        <v>3069</v>
      </c>
      <c r="I143" s="1" t="s">
        <v>3071</v>
      </c>
      <c r="J143" s="1" t="s">
        <v>3216</v>
      </c>
      <c r="K143" s="1">
        <v>3</v>
      </c>
      <c r="L143" s="1" t="s">
        <v>4277</v>
      </c>
      <c r="M143" s="1" t="s">
        <v>4278</v>
      </c>
      <c r="N143" s="1">
        <v>2052.42</v>
      </c>
      <c r="O143" s="1">
        <f>(ordersTable[[#This Row],[Quantity]]*ordersTable[[#This Row],[UnitPrice]])-ordersTable[[#This Row],[TotalPrice]]</f>
        <v>0</v>
      </c>
    </row>
    <row r="144" spans="1:15" x14ac:dyDescent="0.3">
      <c r="A144" s="1" t="s">
        <v>156</v>
      </c>
      <c r="B144" s="2">
        <v>45175</v>
      </c>
      <c r="C144" s="3" t="s">
        <v>1356</v>
      </c>
      <c r="D144" s="1" t="s">
        <v>2409</v>
      </c>
      <c r="E144" s="5">
        <v>5</v>
      </c>
      <c r="F144" s="4">
        <v>272.77</v>
      </c>
      <c r="G144" s="1" t="s">
        <v>2542</v>
      </c>
      <c r="H144" s="1" t="s">
        <v>3069</v>
      </c>
      <c r="I144" s="1" t="s">
        <v>3074</v>
      </c>
      <c r="J144" s="1" t="s">
        <v>3217</v>
      </c>
      <c r="K144" s="1">
        <v>7</v>
      </c>
      <c r="L144" s="1" t="s">
        <v>4277</v>
      </c>
      <c r="M144" s="1" t="s">
        <v>4280</v>
      </c>
      <c r="N144" s="1">
        <v>1363.85</v>
      </c>
      <c r="O144" s="1">
        <f>(ordersTable[[#This Row],[Quantity]]*ordersTable[[#This Row],[UnitPrice]])-ordersTable[[#This Row],[TotalPrice]]</f>
        <v>0</v>
      </c>
    </row>
    <row r="145" spans="1:15" x14ac:dyDescent="0.3">
      <c r="A145" s="1" t="s">
        <v>157</v>
      </c>
      <c r="B145" s="2">
        <v>45456</v>
      </c>
      <c r="C145" s="3" t="s">
        <v>1357</v>
      </c>
      <c r="D145" s="1" t="s">
        <v>2406</v>
      </c>
      <c r="E145" s="5">
        <v>4</v>
      </c>
      <c r="F145" s="4">
        <v>400.07</v>
      </c>
      <c r="G145" s="1" t="s">
        <v>2543</v>
      </c>
      <c r="H145" s="1" t="s">
        <v>3066</v>
      </c>
      <c r="I145" s="1" t="s">
        <v>3070</v>
      </c>
      <c r="J145" s="1" t="s">
        <v>3218</v>
      </c>
      <c r="K145" s="1">
        <v>5</v>
      </c>
      <c r="M145" s="1" t="s">
        <v>4279</v>
      </c>
      <c r="N145" s="1">
        <v>1600.28</v>
      </c>
      <c r="O145" s="1">
        <f>(ordersTable[[#This Row],[Quantity]]*ordersTable[[#This Row],[UnitPrice]])-ordersTable[[#This Row],[TotalPrice]]</f>
        <v>0</v>
      </c>
    </row>
    <row r="146" spans="1:15" x14ac:dyDescent="0.3">
      <c r="A146" s="1" t="s">
        <v>158</v>
      </c>
      <c r="B146" s="2">
        <v>45142</v>
      </c>
      <c r="C146" s="3" t="s">
        <v>1358</v>
      </c>
      <c r="D146" s="1" t="s">
        <v>2409</v>
      </c>
      <c r="E146" s="5">
        <v>5</v>
      </c>
      <c r="F146" s="4">
        <v>219.78</v>
      </c>
      <c r="G146" s="1" t="s">
        <v>2440</v>
      </c>
      <c r="H146" s="1" t="s">
        <v>3067</v>
      </c>
      <c r="I146" s="1" t="s">
        <v>3074</v>
      </c>
      <c r="J146" s="1" t="s">
        <v>3219</v>
      </c>
      <c r="K146" s="1">
        <v>8</v>
      </c>
      <c r="M146" s="1" t="s">
        <v>4281</v>
      </c>
      <c r="N146" s="1">
        <v>1098.9000000000001</v>
      </c>
      <c r="O146" s="1">
        <f>(ordersTable[[#This Row],[Quantity]]*ordersTable[[#This Row],[UnitPrice]])-ordersTable[[#This Row],[TotalPrice]]</f>
        <v>0</v>
      </c>
    </row>
    <row r="147" spans="1:15" x14ac:dyDescent="0.3">
      <c r="A147" s="1" t="s">
        <v>159</v>
      </c>
      <c r="B147" s="2">
        <v>45353</v>
      </c>
      <c r="C147" s="3" t="s">
        <v>1359</v>
      </c>
      <c r="D147" s="1" t="s">
        <v>2407</v>
      </c>
      <c r="E147" s="5">
        <v>3</v>
      </c>
      <c r="F147" s="4">
        <v>146.91</v>
      </c>
      <c r="G147" s="1" t="s">
        <v>2544</v>
      </c>
      <c r="H147" s="1" t="s">
        <v>3067</v>
      </c>
      <c r="I147" s="1" t="s">
        <v>3073</v>
      </c>
      <c r="J147" s="1" t="s">
        <v>3220</v>
      </c>
      <c r="K147" s="1">
        <v>6</v>
      </c>
      <c r="L147" s="1" t="s">
        <v>4276</v>
      </c>
      <c r="M147" s="1" t="s">
        <v>4282</v>
      </c>
      <c r="N147" s="1">
        <v>440.73</v>
      </c>
      <c r="O147" s="1">
        <f>(ordersTable[[#This Row],[Quantity]]*ordersTable[[#This Row],[UnitPrice]])-ordersTable[[#This Row],[TotalPrice]]</f>
        <v>0</v>
      </c>
    </row>
    <row r="148" spans="1:15" x14ac:dyDescent="0.3">
      <c r="A148" s="1" t="s">
        <v>160</v>
      </c>
      <c r="B148" s="2">
        <v>45777</v>
      </c>
      <c r="C148" s="3" t="s">
        <v>1360</v>
      </c>
      <c r="D148" s="1" t="s">
        <v>2405</v>
      </c>
      <c r="E148" s="5">
        <v>2</v>
      </c>
      <c r="F148" s="4">
        <v>411.49</v>
      </c>
      <c r="G148" s="1" t="s">
        <v>2545</v>
      </c>
      <c r="H148" s="1" t="s">
        <v>3067</v>
      </c>
      <c r="I148" s="1" t="s">
        <v>3072</v>
      </c>
      <c r="J148" s="1" t="s">
        <v>3221</v>
      </c>
      <c r="K148" s="1">
        <v>4</v>
      </c>
      <c r="M148" s="1" t="s">
        <v>4278</v>
      </c>
      <c r="N148" s="1">
        <v>822.98</v>
      </c>
      <c r="O148" s="1">
        <f>(ordersTable[[#This Row],[Quantity]]*ordersTable[[#This Row],[UnitPrice]])-ordersTable[[#This Row],[TotalPrice]]</f>
        <v>0</v>
      </c>
    </row>
    <row r="149" spans="1:15" x14ac:dyDescent="0.3">
      <c r="A149" s="1" t="s">
        <v>161</v>
      </c>
      <c r="B149" s="2">
        <v>45783</v>
      </c>
      <c r="C149" s="3" t="s">
        <v>1361</v>
      </c>
      <c r="D149" s="1" t="s">
        <v>2408</v>
      </c>
      <c r="E149" s="5">
        <v>2</v>
      </c>
      <c r="F149" s="4">
        <v>465.18</v>
      </c>
      <c r="G149" s="1" t="s">
        <v>2546</v>
      </c>
      <c r="H149" s="1" t="s">
        <v>3067</v>
      </c>
      <c r="I149" s="1" t="s">
        <v>3071</v>
      </c>
      <c r="J149" s="1" t="s">
        <v>3222</v>
      </c>
      <c r="K149" s="1">
        <v>2</v>
      </c>
      <c r="L149" s="1" t="s">
        <v>4275</v>
      </c>
      <c r="M149" s="1" t="s">
        <v>4282</v>
      </c>
      <c r="N149" s="1">
        <v>930.36</v>
      </c>
      <c r="O149" s="1">
        <f>(ordersTable[[#This Row],[Quantity]]*ordersTable[[#This Row],[UnitPrice]])-ordersTable[[#This Row],[TotalPrice]]</f>
        <v>0</v>
      </c>
    </row>
    <row r="150" spans="1:15" x14ac:dyDescent="0.3">
      <c r="A150" s="1" t="s">
        <v>162</v>
      </c>
      <c r="B150" s="2">
        <v>45641</v>
      </c>
      <c r="C150" s="3" t="s">
        <v>1362</v>
      </c>
      <c r="D150" s="1" t="s">
        <v>2404</v>
      </c>
      <c r="E150" s="5">
        <v>2</v>
      </c>
      <c r="F150" s="4">
        <v>319.91000000000003</v>
      </c>
      <c r="G150" s="1" t="s">
        <v>2547</v>
      </c>
      <c r="H150" s="1" t="s">
        <v>3067</v>
      </c>
      <c r="I150" s="1" t="s">
        <v>3071</v>
      </c>
      <c r="J150" s="1" t="s">
        <v>3223</v>
      </c>
      <c r="K150" s="1">
        <v>3</v>
      </c>
      <c r="L150" s="1" t="s">
        <v>4277</v>
      </c>
      <c r="M150" s="1" t="s">
        <v>4282</v>
      </c>
      <c r="N150" s="1">
        <v>639.82000000000005</v>
      </c>
      <c r="O150" s="1">
        <f>(ordersTable[[#This Row],[Quantity]]*ordersTable[[#This Row],[UnitPrice]])-ordersTable[[#This Row],[TotalPrice]]</f>
        <v>0</v>
      </c>
    </row>
    <row r="151" spans="1:15" x14ac:dyDescent="0.3">
      <c r="A151" s="1" t="s">
        <v>163</v>
      </c>
      <c r="B151" s="2">
        <v>45287</v>
      </c>
      <c r="C151" s="3" t="s">
        <v>1363</v>
      </c>
      <c r="D151" s="1" t="s">
        <v>2408</v>
      </c>
      <c r="E151" s="5">
        <v>1</v>
      </c>
      <c r="F151" s="4">
        <v>217.56</v>
      </c>
      <c r="G151" s="1" t="s">
        <v>2548</v>
      </c>
      <c r="H151" s="1" t="s">
        <v>3065</v>
      </c>
      <c r="I151" s="1" t="s">
        <v>3073</v>
      </c>
      <c r="J151" s="1" t="s">
        <v>3224</v>
      </c>
      <c r="K151" s="1">
        <v>3</v>
      </c>
      <c r="M151" s="1" t="s">
        <v>4281</v>
      </c>
      <c r="N151" s="1">
        <v>217.56</v>
      </c>
      <c r="O151" s="1">
        <f>(ordersTable[[#This Row],[Quantity]]*ordersTable[[#This Row],[UnitPrice]])-ordersTable[[#This Row],[TotalPrice]]</f>
        <v>0</v>
      </c>
    </row>
    <row r="152" spans="1:15" x14ac:dyDescent="0.3">
      <c r="A152" s="1" t="s">
        <v>164</v>
      </c>
      <c r="B152" s="2">
        <v>45273</v>
      </c>
      <c r="C152" s="3" t="s">
        <v>1364</v>
      </c>
      <c r="D152" s="1" t="s">
        <v>2404</v>
      </c>
      <c r="E152" s="5">
        <v>2</v>
      </c>
      <c r="F152" s="4">
        <v>105.57</v>
      </c>
      <c r="G152" s="1" t="s">
        <v>2549</v>
      </c>
      <c r="H152" s="1" t="s">
        <v>3065</v>
      </c>
      <c r="I152" s="1" t="s">
        <v>3072</v>
      </c>
      <c r="J152" s="1" t="s">
        <v>3225</v>
      </c>
      <c r="K152" s="1">
        <v>5</v>
      </c>
      <c r="L152" s="1" t="s">
        <v>4277</v>
      </c>
      <c r="M152" s="1" t="s">
        <v>4282</v>
      </c>
      <c r="N152" s="1">
        <v>211.14</v>
      </c>
      <c r="O152" s="1">
        <f>(ordersTable[[#This Row],[Quantity]]*ordersTable[[#This Row],[UnitPrice]])-ordersTable[[#This Row],[TotalPrice]]</f>
        <v>0</v>
      </c>
    </row>
    <row r="153" spans="1:15" x14ac:dyDescent="0.3">
      <c r="A153" s="1" t="s">
        <v>165</v>
      </c>
      <c r="B153" s="2">
        <v>45261</v>
      </c>
      <c r="C153" s="3" t="s">
        <v>1365</v>
      </c>
      <c r="D153" s="1" t="s">
        <v>2407</v>
      </c>
      <c r="E153" s="5">
        <v>5</v>
      </c>
      <c r="F153" s="4">
        <v>444.76</v>
      </c>
      <c r="G153" s="1" t="s">
        <v>2550</v>
      </c>
      <c r="H153" s="1" t="s">
        <v>3065</v>
      </c>
      <c r="I153" s="1" t="s">
        <v>3072</v>
      </c>
      <c r="J153" s="1" t="s">
        <v>3226</v>
      </c>
      <c r="K153" s="1">
        <v>7</v>
      </c>
      <c r="M153" s="1" t="s">
        <v>4280</v>
      </c>
      <c r="N153" s="1">
        <v>2223.8000000000002</v>
      </c>
      <c r="O153" s="1">
        <f>(ordersTable[[#This Row],[Quantity]]*ordersTable[[#This Row],[UnitPrice]])-ordersTable[[#This Row],[TotalPrice]]</f>
        <v>0</v>
      </c>
    </row>
    <row r="154" spans="1:15" x14ac:dyDescent="0.3">
      <c r="A154" s="1" t="s">
        <v>166</v>
      </c>
      <c r="B154" s="2">
        <v>45659</v>
      </c>
      <c r="C154" s="3" t="s">
        <v>1366</v>
      </c>
      <c r="D154" s="1" t="s">
        <v>2406</v>
      </c>
      <c r="E154" s="5">
        <v>2</v>
      </c>
      <c r="F154" s="4">
        <v>399.04</v>
      </c>
      <c r="G154" s="1" t="s">
        <v>2551</v>
      </c>
      <c r="H154" s="1" t="s">
        <v>3069</v>
      </c>
      <c r="I154" s="1" t="s">
        <v>3071</v>
      </c>
      <c r="J154" s="1" t="s">
        <v>3227</v>
      </c>
      <c r="K154" s="1">
        <v>3</v>
      </c>
      <c r="L154" s="1" t="s">
        <v>4276</v>
      </c>
      <c r="M154" s="1" t="s">
        <v>4279</v>
      </c>
      <c r="N154" s="1">
        <v>798.08</v>
      </c>
      <c r="O154" s="1">
        <f>(ordersTable[[#This Row],[Quantity]]*ordersTable[[#This Row],[UnitPrice]])-ordersTable[[#This Row],[TotalPrice]]</f>
        <v>0</v>
      </c>
    </row>
    <row r="155" spans="1:15" x14ac:dyDescent="0.3">
      <c r="A155" s="1" t="s">
        <v>167</v>
      </c>
      <c r="B155" s="2">
        <v>45644</v>
      </c>
      <c r="C155" s="3" t="s">
        <v>1367</v>
      </c>
      <c r="D155" s="1" t="s">
        <v>2406</v>
      </c>
      <c r="E155" s="5">
        <v>4</v>
      </c>
      <c r="F155" s="4">
        <v>534.48</v>
      </c>
      <c r="G155" s="1" t="s">
        <v>2552</v>
      </c>
      <c r="H155" s="1" t="s">
        <v>3066</v>
      </c>
      <c r="I155" s="1" t="s">
        <v>3072</v>
      </c>
      <c r="J155" s="1" t="s">
        <v>3228</v>
      </c>
      <c r="K155" s="1">
        <v>9</v>
      </c>
      <c r="L155" s="1" t="s">
        <v>4277</v>
      </c>
      <c r="M155" s="1" t="s">
        <v>4278</v>
      </c>
      <c r="N155" s="1">
        <v>2137.92</v>
      </c>
      <c r="O155" s="1">
        <f>(ordersTable[[#This Row],[Quantity]]*ordersTable[[#This Row],[UnitPrice]])-ordersTable[[#This Row],[TotalPrice]]</f>
        <v>0</v>
      </c>
    </row>
    <row r="156" spans="1:15" x14ac:dyDescent="0.3">
      <c r="A156" s="1" t="s">
        <v>168</v>
      </c>
      <c r="B156" s="2">
        <v>45127</v>
      </c>
      <c r="C156" s="3" t="s">
        <v>1368</v>
      </c>
      <c r="D156" s="1" t="s">
        <v>2404</v>
      </c>
      <c r="E156" s="5">
        <v>4</v>
      </c>
      <c r="F156" s="4">
        <v>408.21</v>
      </c>
      <c r="G156" s="1" t="s">
        <v>2525</v>
      </c>
      <c r="H156" s="1" t="s">
        <v>3067</v>
      </c>
      <c r="I156" s="1" t="s">
        <v>3074</v>
      </c>
      <c r="J156" s="1" t="s">
        <v>3229</v>
      </c>
      <c r="K156" s="1">
        <v>9</v>
      </c>
      <c r="M156" s="1" t="s">
        <v>4278</v>
      </c>
      <c r="N156" s="1">
        <v>1632.84</v>
      </c>
      <c r="O156" s="1">
        <f>(ordersTable[[#This Row],[Quantity]]*ordersTable[[#This Row],[UnitPrice]])-ordersTable[[#This Row],[TotalPrice]]</f>
        <v>0</v>
      </c>
    </row>
    <row r="157" spans="1:15" x14ac:dyDescent="0.3">
      <c r="A157" s="1" t="s">
        <v>169</v>
      </c>
      <c r="B157" s="2">
        <v>44984</v>
      </c>
      <c r="C157" s="3" t="s">
        <v>1369</v>
      </c>
      <c r="D157" s="1" t="s">
        <v>2404</v>
      </c>
      <c r="E157" s="5">
        <v>1</v>
      </c>
      <c r="F157" s="4">
        <v>424.4</v>
      </c>
      <c r="G157" s="1" t="s">
        <v>2457</v>
      </c>
      <c r="H157" s="1" t="s">
        <v>3066</v>
      </c>
      <c r="I157" s="1" t="s">
        <v>3070</v>
      </c>
      <c r="J157" s="1" t="s">
        <v>3230</v>
      </c>
      <c r="K157" s="1">
        <v>6</v>
      </c>
      <c r="L157" s="1" t="s">
        <v>4277</v>
      </c>
      <c r="M157" s="1" t="s">
        <v>4279</v>
      </c>
      <c r="N157" s="1">
        <v>424.4</v>
      </c>
      <c r="O157" s="1">
        <f>(ordersTable[[#This Row],[Quantity]]*ordersTable[[#This Row],[UnitPrice]])-ordersTable[[#This Row],[TotalPrice]]</f>
        <v>0</v>
      </c>
    </row>
    <row r="158" spans="1:15" x14ac:dyDescent="0.3">
      <c r="A158" s="1" t="s">
        <v>170</v>
      </c>
      <c r="B158" s="2">
        <v>45604</v>
      </c>
      <c r="C158" s="3" t="s">
        <v>1370</v>
      </c>
      <c r="D158" s="1" t="s">
        <v>2406</v>
      </c>
      <c r="E158" s="5">
        <v>2</v>
      </c>
      <c r="F158" s="4">
        <v>269.83</v>
      </c>
      <c r="G158" s="1" t="s">
        <v>2553</v>
      </c>
      <c r="H158" s="1" t="s">
        <v>3066</v>
      </c>
      <c r="I158" s="1" t="s">
        <v>3073</v>
      </c>
      <c r="J158" s="1" t="s">
        <v>3231</v>
      </c>
      <c r="K158" s="1">
        <v>4</v>
      </c>
      <c r="L158" s="1" t="s">
        <v>4275</v>
      </c>
      <c r="M158" s="1" t="s">
        <v>4280</v>
      </c>
      <c r="N158" s="1">
        <v>539.66</v>
      </c>
      <c r="O158" s="1">
        <f>(ordersTable[[#This Row],[Quantity]]*ordersTable[[#This Row],[UnitPrice]])-ordersTable[[#This Row],[TotalPrice]]</f>
        <v>0</v>
      </c>
    </row>
    <row r="159" spans="1:15" x14ac:dyDescent="0.3">
      <c r="A159" s="1" t="s">
        <v>171</v>
      </c>
      <c r="B159" s="2">
        <v>45709</v>
      </c>
      <c r="C159" s="3" t="s">
        <v>1371</v>
      </c>
      <c r="D159" s="1" t="s">
        <v>2403</v>
      </c>
      <c r="E159" s="5">
        <v>2</v>
      </c>
      <c r="F159" s="4">
        <v>564.58000000000004</v>
      </c>
      <c r="G159" s="1" t="s">
        <v>2535</v>
      </c>
      <c r="H159" s="1" t="s">
        <v>3066</v>
      </c>
      <c r="I159" s="1" t="s">
        <v>3072</v>
      </c>
      <c r="J159" s="1" t="s">
        <v>3232</v>
      </c>
      <c r="K159" s="1">
        <v>4</v>
      </c>
      <c r="L159" s="1" t="s">
        <v>4277</v>
      </c>
      <c r="M159" s="1" t="s">
        <v>4281</v>
      </c>
      <c r="N159" s="1">
        <v>1129.1600000000001</v>
      </c>
      <c r="O159" s="1">
        <f>(ordersTable[[#This Row],[Quantity]]*ordersTable[[#This Row],[UnitPrice]])-ordersTable[[#This Row],[TotalPrice]]</f>
        <v>0</v>
      </c>
    </row>
    <row r="160" spans="1:15" x14ac:dyDescent="0.3">
      <c r="A160" s="1" t="s">
        <v>172</v>
      </c>
      <c r="B160" s="2">
        <v>45428</v>
      </c>
      <c r="C160" s="3" t="s">
        <v>1372</v>
      </c>
      <c r="D160" s="1" t="s">
        <v>2405</v>
      </c>
      <c r="E160" s="5">
        <v>1</v>
      </c>
      <c r="F160" s="4">
        <v>331.06</v>
      </c>
      <c r="G160" s="1" t="s">
        <v>2554</v>
      </c>
      <c r="H160" s="1" t="s">
        <v>3067</v>
      </c>
      <c r="I160" s="1" t="s">
        <v>3074</v>
      </c>
      <c r="J160" s="1" t="s">
        <v>3233</v>
      </c>
      <c r="K160" s="1">
        <v>5</v>
      </c>
      <c r="L160" s="1" t="s">
        <v>4277</v>
      </c>
      <c r="M160" s="1" t="s">
        <v>4278</v>
      </c>
      <c r="N160" s="1">
        <v>331.06</v>
      </c>
      <c r="O160" s="1">
        <f>(ordersTable[[#This Row],[Quantity]]*ordersTable[[#This Row],[UnitPrice]])-ordersTable[[#This Row],[TotalPrice]]</f>
        <v>0</v>
      </c>
    </row>
    <row r="161" spans="1:15" x14ac:dyDescent="0.3">
      <c r="A161" s="1" t="s">
        <v>173</v>
      </c>
      <c r="B161" s="2">
        <v>45230</v>
      </c>
      <c r="C161" s="3" t="s">
        <v>1373</v>
      </c>
      <c r="D161" s="1" t="s">
        <v>2407</v>
      </c>
      <c r="E161" s="5">
        <v>1</v>
      </c>
      <c r="F161" s="4">
        <v>299.35000000000002</v>
      </c>
      <c r="G161" s="1" t="s">
        <v>2555</v>
      </c>
      <c r="H161" s="1" t="s">
        <v>3067</v>
      </c>
      <c r="I161" s="1" t="s">
        <v>3071</v>
      </c>
      <c r="J161" s="1" t="s">
        <v>3234</v>
      </c>
      <c r="K161" s="1">
        <v>5</v>
      </c>
      <c r="L161" s="1" t="s">
        <v>4277</v>
      </c>
      <c r="M161" s="1" t="s">
        <v>4280</v>
      </c>
      <c r="N161" s="1">
        <v>299.35000000000002</v>
      </c>
      <c r="O161" s="1">
        <f>(ordersTable[[#This Row],[Quantity]]*ordersTable[[#This Row],[UnitPrice]])-ordersTable[[#This Row],[TotalPrice]]</f>
        <v>0</v>
      </c>
    </row>
    <row r="162" spans="1:15" x14ac:dyDescent="0.3">
      <c r="A162" s="1" t="s">
        <v>174</v>
      </c>
      <c r="B162" s="2">
        <v>44974</v>
      </c>
      <c r="C162" s="3" t="s">
        <v>1374</v>
      </c>
      <c r="D162" s="1" t="s">
        <v>2403</v>
      </c>
      <c r="E162" s="5">
        <v>4</v>
      </c>
      <c r="F162" s="4">
        <v>101.32</v>
      </c>
      <c r="G162" s="1" t="s">
        <v>2556</v>
      </c>
      <c r="H162" s="1" t="s">
        <v>3069</v>
      </c>
      <c r="I162" s="1" t="s">
        <v>3074</v>
      </c>
      <c r="J162" s="1" t="s">
        <v>3235</v>
      </c>
      <c r="K162" s="1">
        <v>7</v>
      </c>
      <c r="M162" s="1" t="s">
        <v>4279</v>
      </c>
      <c r="N162" s="1">
        <v>405.28</v>
      </c>
      <c r="O162" s="1">
        <f>(ordersTable[[#This Row],[Quantity]]*ordersTable[[#This Row],[UnitPrice]])-ordersTable[[#This Row],[TotalPrice]]</f>
        <v>0</v>
      </c>
    </row>
    <row r="163" spans="1:15" x14ac:dyDescent="0.3">
      <c r="A163" s="1" t="s">
        <v>175</v>
      </c>
      <c r="B163" s="2">
        <v>45380</v>
      </c>
      <c r="C163" s="3" t="s">
        <v>1375</v>
      </c>
      <c r="D163" s="1" t="s">
        <v>2403</v>
      </c>
      <c r="E163" s="5">
        <v>1</v>
      </c>
      <c r="F163" s="4">
        <v>211.14</v>
      </c>
      <c r="G163" s="1" t="s">
        <v>2532</v>
      </c>
      <c r="H163" s="1" t="s">
        <v>3067</v>
      </c>
      <c r="I163" s="1" t="s">
        <v>3071</v>
      </c>
      <c r="J163" s="1" t="s">
        <v>3236</v>
      </c>
      <c r="K163" s="1">
        <v>1</v>
      </c>
      <c r="L163" s="1" t="s">
        <v>4275</v>
      </c>
      <c r="M163" s="1" t="s">
        <v>4281</v>
      </c>
      <c r="N163" s="1">
        <v>211.14</v>
      </c>
      <c r="O163" s="1">
        <f>(ordersTable[[#This Row],[Quantity]]*ordersTable[[#This Row],[UnitPrice]])-ordersTable[[#This Row],[TotalPrice]]</f>
        <v>0</v>
      </c>
    </row>
    <row r="164" spans="1:15" x14ac:dyDescent="0.3">
      <c r="A164" s="1" t="s">
        <v>176</v>
      </c>
      <c r="B164" s="2">
        <v>45134</v>
      </c>
      <c r="C164" s="3" t="s">
        <v>1376</v>
      </c>
      <c r="D164" s="1" t="s">
        <v>2406</v>
      </c>
      <c r="E164" s="5">
        <v>3</v>
      </c>
      <c r="F164" s="4">
        <v>65.86</v>
      </c>
      <c r="G164" s="1" t="s">
        <v>2479</v>
      </c>
      <c r="H164" s="1" t="s">
        <v>3066</v>
      </c>
      <c r="I164" s="1" t="s">
        <v>3074</v>
      </c>
      <c r="J164" s="1" t="s">
        <v>3237</v>
      </c>
      <c r="K164" s="1">
        <v>8</v>
      </c>
      <c r="L164" s="1" t="s">
        <v>4277</v>
      </c>
      <c r="M164" s="1" t="s">
        <v>4282</v>
      </c>
      <c r="N164" s="1">
        <v>197.58</v>
      </c>
      <c r="O164" s="1">
        <f>(ordersTable[[#This Row],[Quantity]]*ordersTable[[#This Row],[UnitPrice]])-ordersTable[[#This Row],[TotalPrice]]</f>
        <v>0</v>
      </c>
    </row>
    <row r="165" spans="1:15" x14ac:dyDescent="0.3">
      <c r="A165" s="1" t="s">
        <v>177</v>
      </c>
      <c r="B165" s="2">
        <v>45832</v>
      </c>
      <c r="C165" s="3" t="s">
        <v>1377</v>
      </c>
      <c r="D165" s="1" t="s">
        <v>2405</v>
      </c>
      <c r="E165" s="5">
        <v>1</v>
      </c>
      <c r="F165" s="4">
        <v>641.39</v>
      </c>
      <c r="G165" s="1" t="s">
        <v>2557</v>
      </c>
      <c r="H165" s="1" t="s">
        <v>3066</v>
      </c>
      <c r="I165" s="1" t="s">
        <v>3071</v>
      </c>
      <c r="J165" s="1" t="s">
        <v>3238</v>
      </c>
      <c r="K165" s="1">
        <v>1</v>
      </c>
      <c r="M165" s="1" t="s">
        <v>4279</v>
      </c>
      <c r="N165" s="1">
        <v>641.39</v>
      </c>
      <c r="O165" s="1">
        <f>(ordersTable[[#This Row],[Quantity]]*ordersTable[[#This Row],[UnitPrice]])-ordersTable[[#This Row],[TotalPrice]]</f>
        <v>0</v>
      </c>
    </row>
    <row r="166" spans="1:15" x14ac:dyDescent="0.3">
      <c r="A166" s="1" t="s">
        <v>178</v>
      </c>
      <c r="B166" s="2">
        <v>45288</v>
      </c>
      <c r="C166" s="3" t="s">
        <v>1378</v>
      </c>
      <c r="D166" s="1" t="s">
        <v>2409</v>
      </c>
      <c r="E166" s="5">
        <v>5</v>
      </c>
      <c r="F166" s="4">
        <v>536.58000000000004</v>
      </c>
      <c r="G166" s="1" t="s">
        <v>2558</v>
      </c>
      <c r="H166" s="1" t="s">
        <v>3068</v>
      </c>
      <c r="I166" s="1" t="s">
        <v>3074</v>
      </c>
      <c r="J166" s="1" t="s">
        <v>3239</v>
      </c>
      <c r="K166" s="1">
        <v>5</v>
      </c>
      <c r="L166" s="1" t="s">
        <v>4275</v>
      </c>
      <c r="M166" s="1" t="s">
        <v>4282</v>
      </c>
      <c r="N166" s="1">
        <v>2682.9</v>
      </c>
      <c r="O166" s="1">
        <f>(ordersTable[[#This Row],[Quantity]]*ordersTable[[#This Row],[UnitPrice]])-ordersTable[[#This Row],[TotalPrice]]</f>
        <v>0</v>
      </c>
    </row>
    <row r="167" spans="1:15" x14ac:dyDescent="0.3">
      <c r="A167" s="1" t="s">
        <v>179</v>
      </c>
      <c r="B167" s="2">
        <v>45549</v>
      </c>
      <c r="C167" s="3" t="s">
        <v>1379</v>
      </c>
      <c r="D167" s="1" t="s">
        <v>2403</v>
      </c>
      <c r="E167" s="5">
        <v>2</v>
      </c>
      <c r="F167" s="4">
        <v>500.29</v>
      </c>
      <c r="G167" s="1" t="s">
        <v>2559</v>
      </c>
      <c r="H167" s="1" t="s">
        <v>3066</v>
      </c>
      <c r="I167" s="1" t="s">
        <v>3072</v>
      </c>
      <c r="J167" s="1" t="s">
        <v>3240</v>
      </c>
      <c r="K167" s="1">
        <v>7</v>
      </c>
      <c r="L167" s="1" t="s">
        <v>4277</v>
      </c>
      <c r="M167" s="1" t="s">
        <v>4282</v>
      </c>
      <c r="N167" s="1">
        <v>1000.58</v>
      </c>
      <c r="O167" s="1">
        <f>(ordersTable[[#This Row],[Quantity]]*ordersTable[[#This Row],[UnitPrice]])-ordersTable[[#This Row],[TotalPrice]]</f>
        <v>0</v>
      </c>
    </row>
    <row r="168" spans="1:15" x14ac:dyDescent="0.3">
      <c r="A168" s="1" t="s">
        <v>180</v>
      </c>
      <c r="B168" s="2">
        <v>45720</v>
      </c>
      <c r="C168" s="3" t="s">
        <v>1380</v>
      </c>
      <c r="D168" s="1" t="s">
        <v>2406</v>
      </c>
      <c r="E168" s="5">
        <v>3</v>
      </c>
      <c r="F168" s="4">
        <v>86.29</v>
      </c>
      <c r="G168" s="1" t="s">
        <v>2461</v>
      </c>
      <c r="H168" s="1" t="s">
        <v>3069</v>
      </c>
      <c r="I168" s="1" t="s">
        <v>3073</v>
      </c>
      <c r="J168" s="1" t="s">
        <v>3241</v>
      </c>
      <c r="K168" s="1">
        <v>6</v>
      </c>
      <c r="L168" s="1" t="s">
        <v>4277</v>
      </c>
      <c r="M168" s="1" t="s">
        <v>4278</v>
      </c>
      <c r="N168" s="1">
        <v>258.87</v>
      </c>
      <c r="O168" s="1">
        <f>(ordersTable[[#This Row],[Quantity]]*ordersTable[[#This Row],[UnitPrice]])-ordersTable[[#This Row],[TotalPrice]]</f>
        <v>0</v>
      </c>
    </row>
    <row r="169" spans="1:15" x14ac:dyDescent="0.3">
      <c r="A169" s="1" t="s">
        <v>181</v>
      </c>
      <c r="B169" s="2">
        <v>45073</v>
      </c>
      <c r="C169" s="3" t="s">
        <v>1381</v>
      </c>
      <c r="D169" s="1" t="s">
        <v>2406</v>
      </c>
      <c r="E169" s="5">
        <v>2</v>
      </c>
      <c r="F169" s="4">
        <v>384.14</v>
      </c>
      <c r="G169" s="1" t="s">
        <v>2560</v>
      </c>
      <c r="H169" s="1" t="s">
        <v>3066</v>
      </c>
      <c r="I169" s="1" t="s">
        <v>3072</v>
      </c>
      <c r="J169" s="1" t="s">
        <v>3242</v>
      </c>
      <c r="K169" s="1">
        <v>2</v>
      </c>
      <c r="L169" s="1" t="s">
        <v>4277</v>
      </c>
      <c r="M169" s="1" t="s">
        <v>4280</v>
      </c>
      <c r="N169" s="1">
        <v>768.28</v>
      </c>
      <c r="O169" s="1">
        <f>(ordersTable[[#This Row],[Quantity]]*ordersTable[[#This Row],[UnitPrice]])-ordersTable[[#This Row],[TotalPrice]]</f>
        <v>0</v>
      </c>
    </row>
    <row r="170" spans="1:15" x14ac:dyDescent="0.3">
      <c r="A170" s="1" t="s">
        <v>182</v>
      </c>
      <c r="B170" s="2">
        <v>45661</v>
      </c>
      <c r="C170" s="3" t="s">
        <v>1382</v>
      </c>
      <c r="D170" s="1" t="s">
        <v>2407</v>
      </c>
      <c r="E170" s="5">
        <v>1</v>
      </c>
      <c r="F170" s="4">
        <v>594.96</v>
      </c>
      <c r="G170" s="1" t="s">
        <v>2561</v>
      </c>
      <c r="H170" s="1" t="s">
        <v>3069</v>
      </c>
      <c r="I170" s="1" t="s">
        <v>3072</v>
      </c>
      <c r="J170" s="1" t="s">
        <v>3243</v>
      </c>
      <c r="K170" s="1">
        <v>6</v>
      </c>
      <c r="M170" s="1" t="s">
        <v>4281</v>
      </c>
      <c r="N170" s="1">
        <v>594.96</v>
      </c>
      <c r="O170" s="1">
        <f>(ordersTable[[#This Row],[Quantity]]*ordersTable[[#This Row],[UnitPrice]])-ordersTable[[#This Row],[TotalPrice]]</f>
        <v>0</v>
      </c>
    </row>
    <row r="171" spans="1:15" x14ac:dyDescent="0.3">
      <c r="A171" s="1" t="s">
        <v>183</v>
      </c>
      <c r="B171" s="2">
        <v>45389</v>
      </c>
      <c r="C171" s="3" t="s">
        <v>1383</v>
      </c>
      <c r="D171" s="1" t="s">
        <v>2407</v>
      </c>
      <c r="E171" s="5">
        <v>1</v>
      </c>
      <c r="F171" s="4">
        <v>427.82</v>
      </c>
      <c r="G171" s="1" t="s">
        <v>2562</v>
      </c>
      <c r="H171" s="1" t="s">
        <v>3066</v>
      </c>
      <c r="I171" s="1" t="s">
        <v>3073</v>
      </c>
      <c r="J171" s="1" t="s">
        <v>3244</v>
      </c>
      <c r="K171" s="1">
        <v>2</v>
      </c>
      <c r="L171" s="1" t="s">
        <v>4277</v>
      </c>
      <c r="M171" s="1" t="s">
        <v>4280</v>
      </c>
      <c r="N171" s="1">
        <v>427.82</v>
      </c>
      <c r="O171" s="1">
        <f>(ordersTable[[#This Row],[Quantity]]*ordersTable[[#This Row],[UnitPrice]])-ordersTable[[#This Row],[TotalPrice]]</f>
        <v>0</v>
      </c>
    </row>
    <row r="172" spans="1:15" x14ac:dyDescent="0.3">
      <c r="A172" s="1" t="s">
        <v>184</v>
      </c>
      <c r="B172" s="2">
        <v>45751</v>
      </c>
      <c r="C172" s="3" t="s">
        <v>1384</v>
      </c>
      <c r="D172" s="1" t="s">
        <v>2409</v>
      </c>
      <c r="E172" s="5">
        <v>4</v>
      </c>
      <c r="F172" s="4">
        <v>662.94</v>
      </c>
      <c r="G172" s="1" t="s">
        <v>2563</v>
      </c>
      <c r="H172" s="1" t="s">
        <v>3069</v>
      </c>
      <c r="I172" s="1" t="s">
        <v>3071</v>
      </c>
      <c r="J172" s="1" t="s">
        <v>3245</v>
      </c>
      <c r="K172" s="1">
        <v>8</v>
      </c>
      <c r="L172" s="1" t="s">
        <v>4275</v>
      </c>
      <c r="M172" s="1" t="s">
        <v>4278</v>
      </c>
      <c r="N172" s="1">
        <v>2651.76</v>
      </c>
      <c r="O172" s="1">
        <f>(ordersTable[[#This Row],[Quantity]]*ordersTable[[#This Row],[UnitPrice]])-ordersTable[[#This Row],[TotalPrice]]</f>
        <v>0</v>
      </c>
    </row>
    <row r="173" spans="1:15" x14ac:dyDescent="0.3">
      <c r="A173" s="1" t="s">
        <v>185</v>
      </c>
      <c r="B173" s="2">
        <v>45153</v>
      </c>
      <c r="C173" s="3" t="s">
        <v>1385</v>
      </c>
      <c r="D173" s="1" t="s">
        <v>2405</v>
      </c>
      <c r="E173" s="5">
        <v>2</v>
      </c>
      <c r="F173" s="4">
        <v>148.22</v>
      </c>
      <c r="G173" s="1" t="s">
        <v>2564</v>
      </c>
      <c r="H173" s="1" t="s">
        <v>3067</v>
      </c>
      <c r="I173" s="1" t="s">
        <v>3073</v>
      </c>
      <c r="J173" s="1" t="s">
        <v>3246</v>
      </c>
      <c r="K173" s="1">
        <v>7</v>
      </c>
      <c r="L173" s="1" t="s">
        <v>4277</v>
      </c>
      <c r="M173" s="1" t="s">
        <v>4278</v>
      </c>
      <c r="N173" s="1">
        <v>296.44</v>
      </c>
      <c r="O173" s="1">
        <f>(ordersTable[[#This Row],[Quantity]]*ordersTable[[#This Row],[UnitPrice]])-ordersTable[[#This Row],[TotalPrice]]</f>
        <v>0</v>
      </c>
    </row>
    <row r="174" spans="1:15" x14ac:dyDescent="0.3">
      <c r="A174" s="1" t="s">
        <v>186</v>
      </c>
      <c r="B174" s="2">
        <v>45753</v>
      </c>
      <c r="C174" s="3" t="s">
        <v>1386</v>
      </c>
      <c r="D174" s="1" t="s">
        <v>2407</v>
      </c>
      <c r="E174" s="5">
        <v>1</v>
      </c>
      <c r="F174" s="4">
        <v>254.12</v>
      </c>
      <c r="G174" s="1" t="s">
        <v>2529</v>
      </c>
      <c r="H174" s="1" t="s">
        <v>3066</v>
      </c>
      <c r="I174" s="1" t="s">
        <v>3073</v>
      </c>
      <c r="J174" s="1" t="s">
        <v>3247</v>
      </c>
      <c r="K174" s="1">
        <v>1</v>
      </c>
      <c r="L174" s="1" t="s">
        <v>4277</v>
      </c>
      <c r="M174" s="1" t="s">
        <v>4280</v>
      </c>
      <c r="N174" s="1">
        <v>254.12</v>
      </c>
      <c r="O174" s="1">
        <f>(ordersTable[[#This Row],[Quantity]]*ordersTable[[#This Row],[UnitPrice]])-ordersTable[[#This Row],[TotalPrice]]</f>
        <v>0</v>
      </c>
    </row>
    <row r="175" spans="1:15" x14ac:dyDescent="0.3">
      <c r="A175" s="1" t="s">
        <v>187</v>
      </c>
      <c r="B175" s="2">
        <v>45375</v>
      </c>
      <c r="C175" s="3" t="s">
        <v>1387</v>
      </c>
      <c r="D175" s="1" t="s">
        <v>2404</v>
      </c>
      <c r="E175" s="5">
        <v>3</v>
      </c>
      <c r="F175" s="4">
        <v>664.46</v>
      </c>
      <c r="G175" s="1" t="s">
        <v>2565</v>
      </c>
      <c r="H175" s="1" t="s">
        <v>3066</v>
      </c>
      <c r="I175" s="1" t="s">
        <v>3073</v>
      </c>
      <c r="J175" s="1" t="s">
        <v>3248</v>
      </c>
      <c r="K175" s="1">
        <v>4</v>
      </c>
      <c r="L175" s="1" t="s">
        <v>4276</v>
      </c>
      <c r="M175" s="1" t="s">
        <v>4282</v>
      </c>
      <c r="N175" s="1">
        <v>1993.38</v>
      </c>
      <c r="O175" s="1">
        <f>(ordersTable[[#This Row],[Quantity]]*ordersTable[[#This Row],[UnitPrice]])-ordersTable[[#This Row],[TotalPrice]]</f>
        <v>0</v>
      </c>
    </row>
    <row r="176" spans="1:15" x14ac:dyDescent="0.3">
      <c r="A176" s="1" t="s">
        <v>188</v>
      </c>
      <c r="B176" s="2">
        <v>45398</v>
      </c>
      <c r="C176" s="3" t="s">
        <v>1388</v>
      </c>
      <c r="D176" s="1" t="s">
        <v>2407</v>
      </c>
      <c r="E176" s="5">
        <v>4</v>
      </c>
      <c r="F176" s="4">
        <v>600.80999999999995</v>
      </c>
      <c r="G176" s="1" t="s">
        <v>2566</v>
      </c>
      <c r="H176" s="1" t="s">
        <v>3065</v>
      </c>
      <c r="I176" s="1" t="s">
        <v>3073</v>
      </c>
      <c r="J176" s="1" t="s">
        <v>3249</v>
      </c>
      <c r="K176" s="1">
        <v>9</v>
      </c>
      <c r="L176" s="1" t="s">
        <v>4275</v>
      </c>
      <c r="M176" s="1" t="s">
        <v>4280</v>
      </c>
      <c r="N176" s="1">
        <v>2403.2399999999998</v>
      </c>
      <c r="O176" s="1">
        <f>(ordersTable[[#This Row],[Quantity]]*ordersTable[[#This Row],[UnitPrice]])-ordersTable[[#This Row],[TotalPrice]]</f>
        <v>0</v>
      </c>
    </row>
    <row r="177" spans="1:15" x14ac:dyDescent="0.3">
      <c r="A177" s="1" t="s">
        <v>189</v>
      </c>
      <c r="B177" s="2">
        <v>45696</v>
      </c>
      <c r="C177" s="3" t="s">
        <v>1389</v>
      </c>
      <c r="D177" s="1" t="s">
        <v>2406</v>
      </c>
      <c r="E177" s="5">
        <v>5</v>
      </c>
      <c r="F177" s="4">
        <v>68.34</v>
      </c>
      <c r="G177" s="1" t="s">
        <v>2567</v>
      </c>
      <c r="H177" s="1" t="s">
        <v>3065</v>
      </c>
      <c r="I177" s="1" t="s">
        <v>3074</v>
      </c>
      <c r="J177" s="1" t="s">
        <v>3250</v>
      </c>
      <c r="K177" s="1">
        <v>6</v>
      </c>
      <c r="L177" s="1" t="s">
        <v>4277</v>
      </c>
      <c r="M177" s="1" t="s">
        <v>4279</v>
      </c>
      <c r="N177" s="1">
        <v>341.7</v>
      </c>
      <c r="O177" s="1">
        <f>(ordersTable[[#This Row],[Quantity]]*ordersTable[[#This Row],[UnitPrice]])-ordersTable[[#This Row],[TotalPrice]]</f>
        <v>0</v>
      </c>
    </row>
    <row r="178" spans="1:15" x14ac:dyDescent="0.3">
      <c r="A178" s="1" t="s">
        <v>190</v>
      </c>
      <c r="B178" s="2">
        <v>45836</v>
      </c>
      <c r="C178" s="3" t="s">
        <v>1390</v>
      </c>
      <c r="D178" s="1" t="s">
        <v>2405</v>
      </c>
      <c r="E178" s="5">
        <v>4</v>
      </c>
      <c r="F178" s="4">
        <v>430.83</v>
      </c>
      <c r="G178" s="1" t="s">
        <v>2568</v>
      </c>
      <c r="H178" s="1" t="s">
        <v>3068</v>
      </c>
      <c r="I178" s="1" t="s">
        <v>3074</v>
      </c>
      <c r="J178" s="1" t="s">
        <v>3251</v>
      </c>
      <c r="K178" s="1">
        <v>8</v>
      </c>
      <c r="L178" s="1" t="s">
        <v>4277</v>
      </c>
      <c r="M178" s="1" t="s">
        <v>4279</v>
      </c>
      <c r="N178" s="1">
        <v>1723.32</v>
      </c>
      <c r="O178" s="1">
        <f>(ordersTable[[#This Row],[Quantity]]*ordersTable[[#This Row],[UnitPrice]])-ordersTable[[#This Row],[TotalPrice]]</f>
        <v>0</v>
      </c>
    </row>
    <row r="179" spans="1:15" x14ac:dyDescent="0.3">
      <c r="A179" s="1" t="s">
        <v>191</v>
      </c>
      <c r="B179" s="2">
        <v>45143</v>
      </c>
      <c r="C179" s="3" t="s">
        <v>1391</v>
      </c>
      <c r="D179" s="1" t="s">
        <v>2406</v>
      </c>
      <c r="E179" s="5">
        <v>5</v>
      </c>
      <c r="F179" s="4">
        <v>431.69</v>
      </c>
      <c r="G179" s="1" t="s">
        <v>2569</v>
      </c>
      <c r="H179" s="1" t="s">
        <v>3067</v>
      </c>
      <c r="I179" s="1" t="s">
        <v>3074</v>
      </c>
      <c r="J179" s="1" t="s">
        <v>3252</v>
      </c>
      <c r="K179" s="1">
        <v>10</v>
      </c>
      <c r="M179" s="1" t="s">
        <v>4281</v>
      </c>
      <c r="N179" s="1">
        <v>2158.4499999999998</v>
      </c>
      <c r="O179" s="1">
        <f>(ordersTable[[#This Row],[Quantity]]*ordersTable[[#This Row],[UnitPrice]])-ordersTable[[#This Row],[TotalPrice]]</f>
        <v>0</v>
      </c>
    </row>
    <row r="180" spans="1:15" x14ac:dyDescent="0.3">
      <c r="A180" s="1" t="s">
        <v>192</v>
      </c>
      <c r="B180" s="2">
        <v>45393</v>
      </c>
      <c r="C180" s="3" t="s">
        <v>1392</v>
      </c>
      <c r="D180" s="1" t="s">
        <v>2406</v>
      </c>
      <c r="E180" s="5">
        <v>4</v>
      </c>
      <c r="F180" s="4">
        <v>512.05999999999995</v>
      </c>
      <c r="G180" s="1" t="s">
        <v>2570</v>
      </c>
      <c r="H180" s="1" t="s">
        <v>3066</v>
      </c>
      <c r="I180" s="1" t="s">
        <v>3073</v>
      </c>
      <c r="J180" s="1" t="s">
        <v>3253</v>
      </c>
      <c r="K180" s="1">
        <v>5</v>
      </c>
      <c r="L180" s="1" t="s">
        <v>4275</v>
      </c>
      <c r="M180" s="1" t="s">
        <v>4282</v>
      </c>
      <c r="N180" s="1">
        <v>2048.2399999999998</v>
      </c>
      <c r="O180" s="1">
        <f>(ordersTable[[#This Row],[Quantity]]*ordersTable[[#This Row],[UnitPrice]])-ordersTable[[#This Row],[TotalPrice]]</f>
        <v>0</v>
      </c>
    </row>
    <row r="181" spans="1:15" x14ac:dyDescent="0.3">
      <c r="A181" s="1" t="s">
        <v>193</v>
      </c>
      <c r="B181" s="2">
        <v>45620</v>
      </c>
      <c r="C181" s="3" t="s">
        <v>1393</v>
      </c>
      <c r="D181" s="1" t="s">
        <v>2408</v>
      </c>
      <c r="E181" s="5">
        <v>3</v>
      </c>
      <c r="F181" s="4">
        <v>539.91</v>
      </c>
      <c r="G181" s="1" t="s">
        <v>2571</v>
      </c>
      <c r="H181" s="1" t="s">
        <v>3067</v>
      </c>
      <c r="I181" s="1" t="s">
        <v>3073</v>
      </c>
      <c r="J181" s="1" t="s">
        <v>3254</v>
      </c>
      <c r="K181" s="1">
        <v>8</v>
      </c>
      <c r="M181" s="1" t="s">
        <v>4280</v>
      </c>
      <c r="N181" s="1">
        <v>1619.73</v>
      </c>
      <c r="O181" s="1">
        <f>(ordersTable[[#This Row],[Quantity]]*ordersTable[[#This Row],[UnitPrice]])-ordersTable[[#This Row],[TotalPrice]]</f>
        <v>0</v>
      </c>
    </row>
    <row r="182" spans="1:15" x14ac:dyDescent="0.3">
      <c r="A182" s="1" t="s">
        <v>194</v>
      </c>
      <c r="B182" s="2">
        <v>45003</v>
      </c>
      <c r="C182" s="3" t="s">
        <v>1394</v>
      </c>
      <c r="D182" s="1" t="s">
        <v>2405</v>
      </c>
      <c r="E182" s="5">
        <v>5</v>
      </c>
      <c r="F182" s="4">
        <v>316.07</v>
      </c>
      <c r="G182" s="1" t="s">
        <v>2572</v>
      </c>
      <c r="H182" s="1" t="s">
        <v>3069</v>
      </c>
      <c r="I182" s="1" t="s">
        <v>3072</v>
      </c>
      <c r="J182" s="1" t="s">
        <v>3255</v>
      </c>
      <c r="K182" s="1">
        <v>10</v>
      </c>
      <c r="M182" s="1" t="s">
        <v>4282</v>
      </c>
      <c r="N182" s="1">
        <v>1580.35</v>
      </c>
      <c r="O182" s="1">
        <f>(ordersTable[[#This Row],[Quantity]]*ordersTable[[#This Row],[UnitPrice]])-ordersTable[[#This Row],[TotalPrice]]</f>
        <v>0</v>
      </c>
    </row>
    <row r="183" spans="1:15" x14ac:dyDescent="0.3">
      <c r="A183" s="1" t="s">
        <v>195</v>
      </c>
      <c r="B183" s="2">
        <v>45535</v>
      </c>
      <c r="C183" s="3" t="s">
        <v>1395</v>
      </c>
      <c r="D183" s="1" t="s">
        <v>2407</v>
      </c>
      <c r="E183" s="5">
        <v>5</v>
      </c>
      <c r="F183" s="4">
        <v>404.39</v>
      </c>
      <c r="G183" s="1" t="s">
        <v>2573</v>
      </c>
      <c r="H183" s="1" t="s">
        <v>3066</v>
      </c>
      <c r="I183" s="1" t="s">
        <v>3070</v>
      </c>
      <c r="J183" s="1" t="s">
        <v>3256</v>
      </c>
      <c r="K183" s="1">
        <v>10</v>
      </c>
      <c r="M183" s="1" t="s">
        <v>4279</v>
      </c>
      <c r="N183" s="1">
        <v>2021.95</v>
      </c>
      <c r="O183" s="1">
        <f>(ordersTable[[#This Row],[Quantity]]*ordersTable[[#This Row],[UnitPrice]])-ordersTable[[#This Row],[TotalPrice]]</f>
        <v>0</v>
      </c>
    </row>
    <row r="184" spans="1:15" x14ac:dyDescent="0.3">
      <c r="A184" s="1" t="s">
        <v>196</v>
      </c>
      <c r="B184" s="2">
        <v>45735</v>
      </c>
      <c r="C184" s="3" t="s">
        <v>1396</v>
      </c>
      <c r="D184" s="1" t="s">
        <v>2409</v>
      </c>
      <c r="E184" s="5">
        <v>1</v>
      </c>
      <c r="F184" s="4">
        <v>600.54</v>
      </c>
      <c r="G184" s="1" t="s">
        <v>2574</v>
      </c>
      <c r="H184" s="1" t="s">
        <v>3065</v>
      </c>
      <c r="I184" s="1" t="s">
        <v>3074</v>
      </c>
      <c r="J184" s="1" t="s">
        <v>3257</v>
      </c>
      <c r="K184" s="1">
        <v>4</v>
      </c>
      <c r="L184" s="1" t="s">
        <v>4277</v>
      </c>
      <c r="M184" s="1" t="s">
        <v>4282</v>
      </c>
      <c r="N184" s="1">
        <v>600.54</v>
      </c>
      <c r="O184" s="1">
        <f>(ordersTable[[#This Row],[Quantity]]*ordersTable[[#This Row],[UnitPrice]])-ordersTable[[#This Row],[TotalPrice]]</f>
        <v>0</v>
      </c>
    </row>
    <row r="185" spans="1:15" x14ac:dyDescent="0.3">
      <c r="A185" s="1" t="s">
        <v>197</v>
      </c>
      <c r="B185" s="2">
        <v>45400</v>
      </c>
      <c r="C185" s="3" t="s">
        <v>1397</v>
      </c>
      <c r="D185" s="1" t="s">
        <v>2403</v>
      </c>
      <c r="E185" s="5">
        <v>5</v>
      </c>
      <c r="F185" s="4">
        <v>186.28</v>
      </c>
      <c r="G185" s="1" t="s">
        <v>2575</v>
      </c>
      <c r="H185" s="1" t="s">
        <v>3065</v>
      </c>
      <c r="I185" s="1" t="s">
        <v>3073</v>
      </c>
      <c r="J185" s="1" t="s">
        <v>3258</v>
      </c>
      <c r="K185" s="1">
        <v>8</v>
      </c>
      <c r="L185" s="1" t="s">
        <v>4275</v>
      </c>
      <c r="M185" s="1" t="s">
        <v>4280</v>
      </c>
      <c r="N185" s="1">
        <v>931.4</v>
      </c>
      <c r="O185" s="1">
        <f>(ordersTable[[#This Row],[Quantity]]*ordersTable[[#This Row],[UnitPrice]])-ordersTable[[#This Row],[TotalPrice]]</f>
        <v>0</v>
      </c>
    </row>
    <row r="186" spans="1:15" x14ac:dyDescent="0.3">
      <c r="A186" s="1" t="s">
        <v>198</v>
      </c>
      <c r="B186" s="2">
        <v>45386</v>
      </c>
      <c r="C186" s="3" t="s">
        <v>1398</v>
      </c>
      <c r="D186" s="1" t="s">
        <v>2405</v>
      </c>
      <c r="E186" s="5">
        <v>4</v>
      </c>
      <c r="F186" s="4">
        <v>214.54</v>
      </c>
      <c r="G186" s="1" t="s">
        <v>2576</v>
      </c>
      <c r="H186" s="1" t="s">
        <v>3068</v>
      </c>
      <c r="I186" s="1" t="s">
        <v>3071</v>
      </c>
      <c r="J186" s="1" t="s">
        <v>3259</v>
      </c>
      <c r="K186" s="1">
        <v>7</v>
      </c>
      <c r="M186" s="1" t="s">
        <v>4279</v>
      </c>
      <c r="N186" s="1">
        <v>858.16</v>
      </c>
      <c r="O186" s="1">
        <f>(ordersTable[[#This Row],[Quantity]]*ordersTable[[#This Row],[UnitPrice]])-ordersTable[[#This Row],[TotalPrice]]</f>
        <v>0</v>
      </c>
    </row>
    <row r="187" spans="1:15" x14ac:dyDescent="0.3">
      <c r="A187" s="1" t="s">
        <v>199</v>
      </c>
      <c r="B187" s="2">
        <v>45690</v>
      </c>
      <c r="C187" s="3" t="s">
        <v>1399</v>
      </c>
      <c r="D187" s="1" t="s">
        <v>2408</v>
      </c>
      <c r="E187" s="5">
        <v>1</v>
      </c>
      <c r="F187" s="4">
        <v>210.7</v>
      </c>
      <c r="G187" s="1" t="s">
        <v>2577</v>
      </c>
      <c r="H187" s="1" t="s">
        <v>3066</v>
      </c>
      <c r="I187" s="1" t="s">
        <v>3070</v>
      </c>
      <c r="J187" s="1" t="s">
        <v>3260</v>
      </c>
      <c r="K187" s="1">
        <v>2</v>
      </c>
      <c r="L187" s="1" t="s">
        <v>4277</v>
      </c>
      <c r="M187" s="1" t="s">
        <v>4279</v>
      </c>
      <c r="N187" s="1">
        <v>210.7</v>
      </c>
      <c r="O187" s="1">
        <f>(ordersTable[[#This Row],[Quantity]]*ordersTable[[#This Row],[UnitPrice]])-ordersTable[[#This Row],[TotalPrice]]</f>
        <v>0</v>
      </c>
    </row>
    <row r="188" spans="1:15" x14ac:dyDescent="0.3">
      <c r="A188" s="1" t="s">
        <v>200</v>
      </c>
      <c r="B188" s="2">
        <v>45267</v>
      </c>
      <c r="C188" s="3" t="s">
        <v>1400</v>
      </c>
      <c r="D188" s="1" t="s">
        <v>2404</v>
      </c>
      <c r="E188" s="5">
        <v>2</v>
      </c>
      <c r="F188" s="4">
        <v>133.55000000000001</v>
      </c>
      <c r="G188" s="1" t="s">
        <v>2578</v>
      </c>
      <c r="H188" s="1" t="s">
        <v>3069</v>
      </c>
      <c r="I188" s="1" t="s">
        <v>3074</v>
      </c>
      <c r="J188" s="1" t="s">
        <v>3261</v>
      </c>
      <c r="K188" s="1">
        <v>7</v>
      </c>
      <c r="L188" s="1" t="s">
        <v>4276</v>
      </c>
      <c r="M188" s="1" t="s">
        <v>4281</v>
      </c>
      <c r="N188" s="1">
        <v>267.10000000000002</v>
      </c>
      <c r="O188" s="1">
        <f>(ordersTable[[#This Row],[Quantity]]*ordersTable[[#This Row],[UnitPrice]])-ordersTable[[#This Row],[TotalPrice]]</f>
        <v>0</v>
      </c>
    </row>
    <row r="189" spans="1:15" x14ac:dyDescent="0.3">
      <c r="A189" s="1" t="s">
        <v>201</v>
      </c>
      <c r="B189" s="2">
        <v>44965</v>
      </c>
      <c r="C189" s="3" t="s">
        <v>1401</v>
      </c>
      <c r="D189" s="1" t="s">
        <v>2406</v>
      </c>
      <c r="E189" s="5">
        <v>1</v>
      </c>
      <c r="F189" s="4">
        <v>590.87</v>
      </c>
      <c r="G189" s="1" t="s">
        <v>2579</v>
      </c>
      <c r="H189" s="1" t="s">
        <v>3068</v>
      </c>
      <c r="I189" s="1" t="s">
        <v>3072</v>
      </c>
      <c r="J189" s="1" t="s">
        <v>3262</v>
      </c>
      <c r="K189" s="1">
        <v>6</v>
      </c>
      <c r="L189" s="1" t="s">
        <v>4276</v>
      </c>
      <c r="M189" s="1" t="s">
        <v>4279</v>
      </c>
      <c r="N189" s="1">
        <v>590.87</v>
      </c>
      <c r="O189" s="1">
        <f>(ordersTable[[#This Row],[Quantity]]*ordersTable[[#This Row],[UnitPrice]])-ordersTable[[#This Row],[TotalPrice]]</f>
        <v>0</v>
      </c>
    </row>
    <row r="190" spans="1:15" x14ac:dyDescent="0.3">
      <c r="A190" s="1" t="s">
        <v>202</v>
      </c>
      <c r="B190" s="2">
        <v>45731</v>
      </c>
      <c r="C190" s="3" t="s">
        <v>1402</v>
      </c>
      <c r="D190" s="1" t="s">
        <v>2406</v>
      </c>
      <c r="E190" s="5">
        <v>2</v>
      </c>
      <c r="F190" s="4">
        <v>363.91</v>
      </c>
      <c r="G190" s="1" t="s">
        <v>2580</v>
      </c>
      <c r="H190" s="1" t="s">
        <v>3068</v>
      </c>
      <c r="I190" s="1" t="s">
        <v>3070</v>
      </c>
      <c r="J190" s="1" t="s">
        <v>3263</v>
      </c>
      <c r="K190" s="1">
        <v>2</v>
      </c>
      <c r="L190" s="1" t="s">
        <v>4276</v>
      </c>
      <c r="M190" s="1" t="s">
        <v>4279</v>
      </c>
      <c r="N190" s="1">
        <v>727.82</v>
      </c>
      <c r="O190" s="1">
        <f>(ordersTable[[#This Row],[Quantity]]*ordersTable[[#This Row],[UnitPrice]])-ordersTable[[#This Row],[TotalPrice]]</f>
        <v>0</v>
      </c>
    </row>
    <row r="191" spans="1:15" x14ac:dyDescent="0.3">
      <c r="A191" s="1" t="s">
        <v>203</v>
      </c>
      <c r="B191" s="2">
        <v>45112</v>
      </c>
      <c r="C191" s="3" t="s">
        <v>1403</v>
      </c>
      <c r="D191" s="1" t="s">
        <v>2407</v>
      </c>
      <c r="E191" s="5">
        <v>5</v>
      </c>
      <c r="F191" s="4">
        <v>429.45</v>
      </c>
      <c r="G191" s="1" t="s">
        <v>2581</v>
      </c>
      <c r="H191" s="1" t="s">
        <v>3068</v>
      </c>
      <c r="I191" s="1" t="s">
        <v>3071</v>
      </c>
      <c r="J191" s="1" t="s">
        <v>3264</v>
      </c>
      <c r="K191" s="1">
        <v>5</v>
      </c>
      <c r="L191" s="1" t="s">
        <v>4277</v>
      </c>
      <c r="M191" s="1" t="s">
        <v>4280</v>
      </c>
      <c r="N191" s="1">
        <v>2147.25</v>
      </c>
      <c r="O191" s="1">
        <f>(ordersTable[[#This Row],[Quantity]]*ordersTable[[#This Row],[UnitPrice]])-ordersTable[[#This Row],[TotalPrice]]</f>
        <v>0</v>
      </c>
    </row>
    <row r="192" spans="1:15" x14ac:dyDescent="0.3">
      <c r="A192" s="1" t="s">
        <v>204</v>
      </c>
      <c r="B192" s="2">
        <v>45535</v>
      </c>
      <c r="C192" s="3" t="s">
        <v>1404</v>
      </c>
      <c r="D192" s="1" t="s">
        <v>2407</v>
      </c>
      <c r="E192" s="5">
        <v>3</v>
      </c>
      <c r="F192" s="4">
        <v>223.7</v>
      </c>
      <c r="G192" s="1" t="s">
        <v>2582</v>
      </c>
      <c r="H192" s="1" t="s">
        <v>3069</v>
      </c>
      <c r="I192" s="1" t="s">
        <v>3072</v>
      </c>
      <c r="J192" s="1" t="s">
        <v>3265</v>
      </c>
      <c r="K192" s="1">
        <v>3</v>
      </c>
      <c r="L192" s="1" t="s">
        <v>4275</v>
      </c>
      <c r="M192" s="1" t="s">
        <v>4280</v>
      </c>
      <c r="N192" s="1">
        <v>671.09999999999991</v>
      </c>
      <c r="O192" s="1">
        <f>(ordersTable[[#This Row],[Quantity]]*ordersTable[[#This Row],[UnitPrice]])-ordersTable[[#This Row],[TotalPrice]]</f>
        <v>0</v>
      </c>
    </row>
    <row r="193" spans="1:15" x14ac:dyDescent="0.3">
      <c r="A193" s="1" t="s">
        <v>205</v>
      </c>
      <c r="B193" s="2">
        <v>45724</v>
      </c>
      <c r="C193" s="3" t="s">
        <v>1405</v>
      </c>
      <c r="D193" s="1" t="s">
        <v>2408</v>
      </c>
      <c r="E193" s="5">
        <v>2</v>
      </c>
      <c r="F193" s="4">
        <v>488.87</v>
      </c>
      <c r="G193" s="1" t="s">
        <v>2583</v>
      </c>
      <c r="H193" s="1" t="s">
        <v>3066</v>
      </c>
      <c r="I193" s="1" t="s">
        <v>3071</v>
      </c>
      <c r="J193" s="1" t="s">
        <v>3266</v>
      </c>
      <c r="K193" s="1">
        <v>4</v>
      </c>
      <c r="L193" s="1" t="s">
        <v>4276</v>
      </c>
      <c r="M193" s="1" t="s">
        <v>4282</v>
      </c>
      <c r="N193" s="1">
        <v>977.74</v>
      </c>
      <c r="O193" s="1">
        <f>(ordersTable[[#This Row],[Quantity]]*ordersTable[[#This Row],[UnitPrice]])-ordersTable[[#This Row],[TotalPrice]]</f>
        <v>0</v>
      </c>
    </row>
    <row r="194" spans="1:15" x14ac:dyDescent="0.3">
      <c r="A194" s="1" t="s">
        <v>206</v>
      </c>
      <c r="B194" s="2">
        <v>45149</v>
      </c>
      <c r="C194" s="3" t="s">
        <v>1406</v>
      </c>
      <c r="D194" s="1" t="s">
        <v>2409</v>
      </c>
      <c r="E194" s="5">
        <v>1</v>
      </c>
      <c r="F194" s="4">
        <v>645.46</v>
      </c>
      <c r="G194" s="1" t="s">
        <v>2541</v>
      </c>
      <c r="H194" s="1" t="s">
        <v>3068</v>
      </c>
      <c r="I194" s="1" t="s">
        <v>3071</v>
      </c>
      <c r="J194" s="1" t="s">
        <v>3267</v>
      </c>
      <c r="K194" s="1">
        <v>5</v>
      </c>
      <c r="L194" s="1" t="s">
        <v>4275</v>
      </c>
      <c r="M194" s="1" t="s">
        <v>4282</v>
      </c>
      <c r="N194" s="1">
        <v>645.46</v>
      </c>
      <c r="O194" s="1">
        <f>(ordersTable[[#This Row],[Quantity]]*ordersTable[[#This Row],[UnitPrice]])-ordersTable[[#This Row],[TotalPrice]]</f>
        <v>0</v>
      </c>
    </row>
    <row r="195" spans="1:15" x14ac:dyDescent="0.3">
      <c r="A195" s="1" t="s">
        <v>207</v>
      </c>
      <c r="B195" s="2">
        <v>45128</v>
      </c>
      <c r="C195" s="3" t="s">
        <v>1407</v>
      </c>
      <c r="D195" s="1" t="s">
        <v>2407</v>
      </c>
      <c r="E195" s="5">
        <v>1</v>
      </c>
      <c r="F195" s="4">
        <v>46.66</v>
      </c>
      <c r="G195" s="1" t="s">
        <v>2584</v>
      </c>
      <c r="H195" s="1" t="s">
        <v>3069</v>
      </c>
      <c r="I195" s="1" t="s">
        <v>3071</v>
      </c>
      <c r="J195" s="1" t="s">
        <v>3268</v>
      </c>
      <c r="K195" s="1">
        <v>6</v>
      </c>
      <c r="M195" s="1" t="s">
        <v>4282</v>
      </c>
      <c r="N195" s="1">
        <v>46.66</v>
      </c>
      <c r="O195" s="1">
        <f>(ordersTable[[#This Row],[Quantity]]*ordersTable[[#This Row],[UnitPrice]])-ordersTable[[#This Row],[TotalPrice]]</f>
        <v>0</v>
      </c>
    </row>
    <row r="196" spans="1:15" x14ac:dyDescent="0.3">
      <c r="A196" s="1" t="s">
        <v>208</v>
      </c>
      <c r="B196" s="2">
        <v>45451</v>
      </c>
      <c r="C196" s="3" t="s">
        <v>1408</v>
      </c>
      <c r="D196" s="1" t="s">
        <v>2403</v>
      </c>
      <c r="E196" s="5">
        <v>1</v>
      </c>
      <c r="F196" s="4">
        <v>249.57</v>
      </c>
      <c r="G196" s="1" t="s">
        <v>2585</v>
      </c>
      <c r="H196" s="1" t="s">
        <v>3069</v>
      </c>
      <c r="I196" s="1" t="s">
        <v>3070</v>
      </c>
      <c r="J196" s="1" t="s">
        <v>3269</v>
      </c>
      <c r="K196" s="1">
        <v>3</v>
      </c>
      <c r="L196" s="1" t="s">
        <v>4276</v>
      </c>
      <c r="M196" s="1" t="s">
        <v>4282</v>
      </c>
      <c r="N196" s="1">
        <v>249.57</v>
      </c>
      <c r="O196" s="1">
        <f>(ordersTable[[#This Row],[Quantity]]*ordersTable[[#This Row],[UnitPrice]])-ordersTable[[#This Row],[TotalPrice]]</f>
        <v>0</v>
      </c>
    </row>
    <row r="197" spans="1:15" x14ac:dyDescent="0.3">
      <c r="A197" s="1" t="s">
        <v>209</v>
      </c>
      <c r="B197" s="2">
        <v>45404</v>
      </c>
      <c r="C197" s="3" t="s">
        <v>1409</v>
      </c>
      <c r="D197" s="1" t="s">
        <v>2406</v>
      </c>
      <c r="E197" s="5">
        <v>3</v>
      </c>
      <c r="F197" s="4">
        <v>619.21</v>
      </c>
      <c r="G197" s="1" t="s">
        <v>2586</v>
      </c>
      <c r="H197" s="1" t="s">
        <v>3065</v>
      </c>
      <c r="I197" s="1" t="s">
        <v>3071</v>
      </c>
      <c r="J197" s="1" t="s">
        <v>3270</v>
      </c>
      <c r="K197" s="1">
        <v>6</v>
      </c>
      <c r="M197" s="1" t="s">
        <v>4280</v>
      </c>
      <c r="N197" s="1">
        <v>1857.63</v>
      </c>
      <c r="O197" s="1">
        <f>(ordersTable[[#This Row],[Quantity]]*ordersTable[[#This Row],[UnitPrice]])-ordersTable[[#This Row],[TotalPrice]]</f>
        <v>0</v>
      </c>
    </row>
    <row r="198" spans="1:15" x14ac:dyDescent="0.3">
      <c r="A198" s="1" t="s">
        <v>210</v>
      </c>
      <c r="B198" s="2">
        <v>45681</v>
      </c>
      <c r="C198" s="3" t="s">
        <v>1410</v>
      </c>
      <c r="D198" s="1" t="s">
        <v>2409</v>
      </c>
      <c r="E198" s="5">
        <v>4</v>
      </c>
      <c r="F198" s="4">
        <v>217.13</v>
      </c>
      <c r="G198" s="1" t="s">
        <v>2587</v>
      </c>
      <c r="H198" s="1" t="s">
        <v>3069</v>
      </c>
      <c r="I198" s="1" t="s">
        <v>3073</v>
      </c>
      <c r="J198" s="1" t="s">
        <v>3271</v>
      </c>
      <c r="K198" s="1">
        <v>8</v>
      </c>
      <c r="L198" s="1" t="s">
        <v>4277</v>
      </c>
      <c r="M198" s="1" t="s">
        <v>4280</v>
      </c>
      <c r="N198" s="1">
        <v>868.52</v>
      </c>
      <c r="O198" s="1">
        <f>(ordersTable[[#This Row],[Quantity]]*ordersTable[[#This Row],[UnitPrice]])-ordersTable[[#This Row],[TotalPrice]]</f>
        <v>0</v>
      </c>
    </row>
    <row r="199" spans="1:15" x14ac:dyDescent="0.3">
      <c r="A199" s="1" t="s">
        <v>211</v>
      </c>
      <c r="B199" s="2">
        <v>45165</v>
      </c>
      <c r="C199" s="3" t="s">
        <v>1411</v>
      </c>
      <c r="D199" s="1" t="s">
        <v>2408</v>
      </c>
      <c r="E199" s="5">
        <v>5</v>
      </c>
      <c r="F199" s="4">
        <v>221.51</v>
      </c>
      <c r="G199" s="1" t="s">
        <v>2588</v>
      </c>
      <c r="H199" s="1" t="s">
        <v>3069</v>
      </c>
      <c r="I199" s="1" t="s">
        <v>3072</v>
      </c>
      <c r="J199" s="1" t="s">
        <v>3272</v>
      </c>
      <c r="K199" s="1">
        <v>5</v>
      </c>
      <c r="L199" s="1" t="s">
        <v>4277</v>
      </c>
      <c r="M199" s="1" t="s">
        <v>4279</v>
      </c>
      <c r="N199" s="1">
        <v>1107.55</v>
      </c>
      <c r="O199" s="1">
        <f>(ordersTable[[#This Row],[Quantity]]*ordersTable[[#This Row],[UnitPrice]])-ordersTable[[#This Row],[TotalPrice]]</f>
        <v>0</v>
      </c>
    </row>
    <row r="200" spans="1:15" x14ac:dyDescent="0.3">
      <c r="A200" s="1" t="s">
        <v>212</v>
      </c>
      <c r="B200" s="2">
        <v>45454</v>
      </c>
      <c r="C200" s="3" t="s">
        <v>1412</v>
      </c>
      <c r="D200" s="1" t="s">
        <v>2408</v>
      </c>
      <c r="E200" s="5">
        <v>4</v>
      </c>
      <c r="F200" s="4">
        <v>340.3</v>
      </c>
      <c r="G200" s="1" t="s">
        <v>2444</v>
      </c>
      <c r="H200" s="1" t="s">
        <v>3069</v>
      </c>
      <c r="I200" s="1" t="s">
        <v>3071</v>
      </c>
      <c r="J200" s="1" t="s">
        <v>3273</v>
      </c>
      <c r="K200" s="1">
        <v>8</v>
      </c>
      <c r="L200" s="1" t="s">
        <v>4275</v>
      </c>
      <c r="M200" s="1" t="s">
        <v>4279</v>
      </c>
      <c r="N200" s="1">
        <v>1361.2</v>
      </c>
      <c r="O200" s="1">
        <f>(ordersTable[[#This Row],[Quantity]]*ordersTable[[#This Row],[UnitPrice]])-ordersTable[[#This Row],[TotalPrice]]</f>
        <v>0</v>
      </c>
    </row>
    <row r="201" spans="1:15" x14ac:dyDescent="0.3">
      <c r="A201" s="1" t="s">
        <v>213</v>
      </c>
      <c r="B201" s="2">
        <v>45680</v>
      </c>
      <c r="C201" s="3" t="s">
        <v>1413</v>
      </c>
      <c r="D201" s="1" t="s">
        <v>2404</v>
      </c>
      <c r="E201" s="5">
        <v>1</v>
      </c>
      <c r="F201" s="4">
        <v>625</v>
      </c>
      <c r="G201" s="1" t="s">
        <v>2589</v>
      </c>
      <c r="H201" s="1" t="s">
        <v>3066</v>
      </c>
      <c r="I201" s="1" t="s">
        <v>3072</v>
      </c>
      <c r="J201" s="1" t="s">
        <v>3274</v>
      </c>
      <c r="K201" s="1">
        <v>5</v>
      </c>
      <c r="L201" s="1" t="s">
        <v>4277</v>
      </c>
      <c r="M201" s="1" t="s">
        <v>4282</v>
      </c>
      <c r="N201" s="1">
        <v>625</v>
      </c>
      <c r="O201" s="1">
        <f>(ordersTable[[#This Row],[Quantity]]*ordersTable[[#This Row],[UnitPrice]])-ordersTable[[#This Row],[TotalPrice]]</f>
        <v>0</v>
      </c>
    </row>
    <row r="202" spans="1:15" x14ac:dyDescent="0.3">
      <c r="A202" s="1" t="s">
        <v>214</v>
      </c>
      <c r="B202" s="2">
        <v>45815</v>
      </c>
      <c r="C202" s="3" t="s">
        <v>1414</v>
      </c>
      <c r="D202" s="1" t="s">
        <v>2405</v>
      </c>
      <c r="E202" s="5">
        <v>5</v>
      </c>
      <c r="F202" s="4">
        <v>433.26</v>
      </c>
      <c r="G202" s="1" t="s">
        <v>2440</v>
      </c>
      <c r="H202" s="1" t="s">
        <v>3067</v>
      </c>
      <c r="I202" s="1" t="s">
        <v>3073</v>
      </c>
      <c r="J202" s="1" t="s">
        <v>3275</v>
      </c>
      <c r="K202" s="1">
        <v>9</v>
      </c>
      <c r="L202" s="1" t="s">
        <v>4275</v>
      </c>
      <c r="M202" s="1" t="s">
        <v>4282</v>
      </c>
      <c r="N202" s="1">
        <v>2166.3000000000002</v>
      </c>
      <c r="O202" s="1">
        <f>(ordersTable[[#This Row],[Quantity]]*ordersTable[[#This Row],[UnitPrice]])-ordersTable[[#This Row],[TotalPrice]]</f>
        <v>0</v>
      </c>
    </row>
    <row r="203" spans="1:15" x14ac:dyDescent="0.3">
      <c r="A203" s="1" t="s">
        <v>215</v>
      </c>
      <c r="B203" s="2">
        <v>45095</v>
      </c>
      <c r="C203" s="3" t="s">
        <v>1415</v>
      </c>
      <c r="D203" s="1" t="s">
        <v>2403</v>
      </c>
      <c r="E203" s="5">
        <v>2</v>
      </c>
      <c r="F203" s="4">
        <v>674.9</v>
      </c>
      <c r="G203" s="1" t="s">
        <v>2482</v>
      </c>
      <c r="H203" s="1" t="s">
        <v>3066</v>
      </c>
      <c r="I203" s="1" t="s">
        <v>3070</v>
      </c>
      <c r="J203" s="1" t="s">
        <v>3276</v>
      </c>
      <c r="K203" s="1">
        <v>4</v>
      </c>
      <c r="L203" s="1" t="s">
        <v>4275</v>
      </c>
      <c r="M203" s="1" t="s">
        <v>4281</v>
      </c>
      <c r="N203" s="1">
        <v>1349.8</v>
      </c>
      <c r="O203" s="1">
        <f>(ordersTable[[#This Row],[Quantity]]*ordersTable[[#This Row],[UnitPrice]])-ordersTable[[#This Row],[TotalPrice]]</f>
        <v>0</v>
      </c>
    </row>
    <row r="204" spans="1:15" x14ac:dyDescent="0.3">
      <c r="A204" s="1" t="s">
        <v>216</v>
      </c>
      <c r="B204" s="2">
        <v>45694</v>
      </c>
      <c r="C204" s="3" t="s">
        <v>1416</v>
      </c>
      <c r="D204" s="1" t="s">
        <v>2403</v>
      </c>
      <c r="E204" s="5">
        <v>3</v>
      </c>
      <c r="F204" s="4">
        <v>253.98</v>
      </c>
      <c r="G204" s="1" t="s">
        <v>2535</v>
      </c>
      <c r="H204" s="1" t="s">
        <v>3067</v>
      </c>
      <c r="I204" s="1" t="s">
        <v>3071</v>
      </c>
      <c r="J204" s="1" t="s">
        <v>3277</v>
      </c>
      <c r="K204" s="1">
        <v>3</v>
      </c>
      <c r="L204" s="1" t="s">
        <v>4276</v>
      </c>
      <c r="M204" s="1" t="s">
        <v>4280</v>
      </c>
      <c r="N204" s="1">
        <v>761.93999999999994</v>
      </c>
      <c r="O204" s="1">
        <f>(ordersTable[[#This Row],[Quantity]]*ordersTable[[#This Row],[UnitPrice]])-ordersTable[[#This Row],[TotalPrice]]</f>
        <v>0</v>
      </c>
    </row>
    <row r="205" spans="1:15" x14ac:dyDescent="0.3">
      <c r="A205" s="1" t="s">
        <v>217</v>
      </c>
      <c r="B205" s="2">
        <v>45678</v>
      </c>
      <c r="C205" s="3" t="s">
        <v>1417</v>
      </c>
      <c r="D205" s="1" t="s">
        <v>2407</v>
      </c>
      <c r="E205" s="5">
        <v>3</v>
      </c>
      <c r="F205" s="4">
        <v>356.84</v>
      </c>
      <c r="G205" s="1" t="s">
        <v>2590</v>
      </c>
      <c r="H205" s="1" t="s">
        <v>3066</v>
      </c>
      <c r="I205" s="1" t="s">
        <v>3070</v>
      </c>
      <c r="J205" s="1" t="s">
        <v>3278</v>
      </c>
      <c r="K205" s="1">
        <v>5</v>
      </c>
      <c r="L205" s="1" t="s">
        <v>4275</v>
      </c>
      <c r="M205" s="1" t="s">
        <v>4278</v>
      </c>
      <c r="N205" s="1">
        <v>1070.52</v>
      </c>
      <c r="O205" s="1">
        <f>(ordersTable[[#This Row],[Quantity]]*ordersTable[[#This Row],[UnitPrice]])-ordersTable[[#This Row],[TotalPrice]]</f>
        <v>0</v>
      </c>
    </row>
    <row r="206" spans="1:15" x14ac:dyDescent="0.3">
      <c r="A206" s="1" t="s">
        <v>218</v>
      </c>
      <c r="B206" s="2">
        <v>45174</v>
      </c>
      <c r="C206" s="3" t="s">
        <v>1418</v>
      </c>
      <c r="D206" s="1" t="s">
        <v>2408</v>
      </c>
      <c r="E206" s="5">
        <v>4</v>
      </c>
      <c r="F206" s="4">
        <v>413.71</v>
      </c>
      <c r="G206" s="1" t="s">
        <v>2539</v>
      </c>
      <c r="H206" s="1" t="s">
        <v>3068</v>
      </c>
      <c r="I206" s="1" t="s">
        <v>3071</v>
      </c>
      <c r="J206" s="1" t="s">
        <v>3279</v>
      </c>
      <c r="K206" s="1">
        <v>9</v>
      </c>
      <c r="L206" s="1" t="s">
        <v>4276</v>
      </c>
      <c r="M206" s="1" t="s">
        <v>4281</v>
      </c>
      <c r="N206" s="1">
        <v>1654.84</v>
      </c>
      <c r="O206" s="1">
        <f>(ordersTable[[#This Row],[Quantity]]*ordersTable[[#This Row],[UnitPrice]])-ordersTable[[#This Row],[TotalPrice]]</f>
        <v>0</v>
      </c>
    </row>
    <row r="207" spans="1:15" x14ac:dyDescent="0.3">
      <c r="A207" s="1" t="s">
        <v>219</v>
      </c>
      <c r="B207" s="2">
        <v>44989</v>
      </c>
      <c r="C207" s="3" t="s">
        <v>1419</v>
      </c>
      <c r="D207" s="1" t="s">
        <v>2409</v>
      </c>
      <c r="E207" s="5">
        <v>3</v>
      </c>
      <c r="F207" s="4">
        <v>147.38999999999999</v>
      </c>
      <c r="G207" s="1" t="s">
        <v>2591</v>
      </c>
      <c r="H207" s="1" t="s">
        <v>3065</v>
      </c>
      <c r="I207" s="1" t="s">
        <v>3072</v>
      </c>
      <c r="J207" s="1" t="s">
        <v>3280</v>
      </c>
      <c r="K207" s="1">
        <v>3</v>
      </c>
      <c r="M207" s="1" t="s">
        <v>4280</v>
      </c>
      <c r="N207" s="1">
        <v>442.17</v>
      </c>
      <c r="O207" s="1">
        <f>(ordersTable[[#This Row],[Quantity]]*ordersTable[[#This Row],[UnitPrice]])-ordersTable[[#This Row],[TotalPrice]]</f>
        <v>0</v>
      </c>
    </row>
    <row r="208" spans="1:15" x14ac:dyDescent="0.3">
      <c r="A208" s="1" t="s">
        <v>220</v>
      </c>
      <c r="B208" s="2">
        <v>45398</v>
      </c>
      <c r="C208" s="3" t="s">
        <v>1420</v>
      </c>
      <c r="D208" s="1" t="s">
        <v>2408</v>
      </c>
      <c r="E208" s="5">
        <v>4</v>
      </c>
      <c r="F208" s="4">
        <v>229.1</v>
      </c>
      <c r="G208" s="1" t="s">
        <v>2592</v>
      </c>
      <c r="H208" s="1" t="s">
        <v>3068</v>
      </c>
      <c r="I208" s="1" t="s">
        <v>3072</v>
      </c>
      <c r="J208" s="1" t="s">
        <v>3281</v>
      </c>
      <c r="K208" s="1">
        <v>8</v>
      </c>
      <c r="L208" s="1" t="s">
        <v>4277</v>
      </c>
      <c r="M208" s="1" t="s">
        <v>4280</v>
      </c>
      <c r="N208" s="1">
        <v>916.4</v>
      </c>
      <c r="O208" s="1">
        <f>(ordersTable[[#This Row],[Quantity]]*ordersTable[[#This Row],[UnitPrice]])-ordersTable[[#This Row],[TotalPrice]]</f>
        <v>0</v>
      </c>
    </row>
    <row r="209" spans="1:15" x14ac:dyDescent="0.3">
      <c r="A209" s="1" t="s">
        <v>221</v>
      </c>
      <c r="B209" s="2">
        <v>45734</v>
      </c>
      <c r="C209" s="3" t="s">
        <v>1421</v>
      </c>
      <c r="D209" s="1" t="s">
        <v>2404</v>
      </c>
      <c r="E209" s="5">
        <v>1</v>
      </c>
      <c r="F209" s="4">
        <v>121.96</v>
      </c>
      <c r="G209" s="1" t="s">
        <v>2593</v>
      </c>
      <c r="H209" s="1" t="s">
        <v>3065</v>
      </c>
      <c r="I209" s="1" t="s">
        <v>3073</v>
      </c>
      <c r="J209" s="1" t="s">
        <v>3282</v>
      </c>
      <c r="K209" s="1">
        <v>3</v>
      </c>
      <c r="M209" s="1" t="s">
        <v>4282</v>
      </c>
      <c r="N209" s="1">
        <v>121.96</v>
      </c>
      <c r="O209" s="1">
        <f>(ordersTable[[#This Row],[Quantity]]*ordersTable[[#This Row],[UnitPrice]])-ordersTable[[#This Row],[TotalPrice]]</f>
        <v>0</v>
      </c>
    </row>
    <row r="210" spans="1:15" x14ac:dyDescent="0.3">
      <c r="A210" s="1" t="s">
        <v>222</v>
      </c>
      <c r="B210" s="2">
        <v>45573</v>
      </c>
      <c r="C210" s="3" t="s">
        <v>1422</v>
      </c>
      <c r="D210" s="1" t="s">
        <v>2409</v>
      </c>
      <c r="E210" s="5">
        <v>2</v>
      </c>
      <c r="F210" s="4">
        <v>408.32</v>
      </c>
      <c r="G210" s="1" t="s">
        <v>2581</v>
      </c>
      <c r="H210" s="1" t="s">
        <v>3066</v>
      </c>
      <c r="I210" s="1" t="s">
        <v>3070</v>
      </c>
      <c r="J210" s="1" t="s">
        <v>3283</v>
      </c>
      <c r="K210" s="1">
        <v>3</v>
      </c>
      <c r="L210" s="1" t="s">
        <v>4276</v>
      </c>
      <c r="M210" s="1" t="s">
        <v>4281</v>
      </c>
      <c r="N210" s="1">
        <v>816.64</v>
      </c>
      <c r="O210" s="1">
        <f>(ordersTable[[#This Row],[Quantity]]*ordersTable[[#This Row],[UnitPrice]])-ordersTable[[#This Row],[TotalPrice]]</f>
        <v>0</v>
      </c>
    </row>
    <row r="211" spans="1:15" x14ac:dyDescent="0.3">
      <c r="A211" s="1" t="s">
        <v>223</v>
      </c>
      <c r="B211" s="2">
        <v>45167</v>
      </c>
      <c r="C211" s="3" t="s">
        <v>1423</v>
      </c>
      <c r="D211" s="1" t="s">
        <v>2405</v>
      </c>
      <c r="E211" s="5">
        <v>5</v>
      </c>
      <c r="F211" s="4">
        <v>187.97</v>
      </c>
      <c r="G211" s="1" t="s">
        <v>2417</v>
      </c>
      <c r="H211" s="1" t="s">
        <v>3069</v>
      </c>
      <c r="I211" s="1" t="s">
        <v>3072</v>
      </c>
      <c r="J211" s="1" t="s">
        <v>3284</v>
      </c>
      <c r="K211" s="1">
        <v>9</v>
      </c>
      <c r="L211" s="1" t="s">
        <v>4275</v>
      </c>
      <c r="M211" s="1" t="s">
        <v>4282</v>
      </c>
      <c r="N211" s="1">
        <v>939.85</v>
      </c>
      <c r="O211" s="1">
        <f>(ordersTable[[#This Row],[Quantity]]*ordersTable[[#This Row],[UnitPrice]])-ordersTable[[#This Row],[TotalPrice]]</f>
        <v>0</v>
      </c>
    </row>
    <row r="212" spans="1:15" x14ac:dyDescent="0.3">
      <c r="A212" s="1" t="s">
        <v>224</v>
      </c>
      <c r="B212" s="2">
        <v>45631</v>
      </c>
      <c r="C212" s="3" t="s">
        <v>1424</v>
      </c>
      <c r="D212" s="1" t="s">
        <v>2406</v>
      </c>
      <c r="E212" s="5">
        <v>3</v>
      </c>
      <c r="F212" s="4">
        <v>358.48</v>
      </c>
      <c r="G212" s="1" t="s">
        <v>2532</v>
      </c>
      <c r="H212" s="1" t="s">
        <v>3068</v>
      </c>
      <c r="I212" s="1" t="s">
        <v>3073</v>
      </c>
      <c r="J212" s="1" t="s">
        <v>3285</v>
      </c>
      <c r="K212" s="1">
        <v>7</v>
      </c>
      <c r="L212" s="1" t="s">
        <v>4276</v>
      </c>
      <c r="M212" s="1" t="s">
        <v>4281</v>
      </c>
      <c r="N212" s="1">
        <v>1075.44</v>
      </c>
      <c r="O212" s="1">
        <f>(ordersTable[[#This Row],[Quantity]]*ordersTable[[#This Row],[UnitPrice]])-ordersTable[[#This Row],[TotalPrice]]</f>
        <v>0</v>
      </c>
    </row>
    <row r="213" spans="1:15" x14ac:dyDescent="0.3">
      <c r="A213" s="1" t="s">
        <v>225</v>
      </c>
      <c r="B213" s="2">
        <v>45660</v>
      </c>
      <c r="C213" s="3" t="s">
        <v>1425</v>
      </c>
      <c r="D213" s="1" t="s">
        <v>2407</v>
      </c>
      <c r="E213" s="5">
        <v>3</v>
      </c>
      <c r="F213" s="4">
        <v>193.58</v>
      </c>
      <c r="G213" s="1" t="s">
        <v>2594</v>
      </c>
      <c r="H213" s="1" t="s">
        <v>3068</v>
      </c>
      <c r="I213" s="1" t="s">
        <v>3074</v>
      </c>
      <c r="J213" s="1" t="s">
        <v>3286</v>
      </c>
      <c r="K213" s="1">
        <v>7</v>
      </c>
      <c r="L213" s="1" t="s">
        <v>4276</v>
      </c>
      <c r="M213" s="1" t="s">
        <v>4280</v>
      </c>
      <c r="N213" s="1">
        <v>580.74</v>
      </c>
      <c r="O213" s="1">
        <f>(ordersTable[[#This Row],[Quantity]]*ordersTable[[#This Row],[UnitPrice]])-ordersTable[[#This Row],[TotalPrice]]</f>
        <v>0</v>
      </c>
    </row>
    <row r="214" spans="1:15" x14ac:dyDescent="0.3">
      <c r="A214" s="1" t="s">
        <v>226</v>
      </c>
      <c r="B214" s="2">
        <v>45097</v>
      </c>
      <c r="C214" s="3" t="s">
        <v>1426</v>
      </c>
      <c r="D214" s="1" t="s">
        <v>2403</v>
      </c>
      <c r="E214" s="5">
        <v>1</v>
      </c>
      <c r="F214" s="4">
        <v>265.38</v>
      </c>
      <c r="G214" s="1" t="s">
        <v>2595</v>
      </c>
      <c r="H214" s="1" t="s">
        <v>3067</v>
      </c>
      <c r="I214" s="1" t="s">
        <v>3071</v>
      </c>
      <c r="J214" s="1" t="s">
        <v>3287</v>
      </c>
      <c r="K214" s="1">
        <v>6</v>
      </c>
      <c r="L214" s="1" t="s">
        <v>4277</v>
      </c>
      <c r="M214" s="1" t="s">
        <v>4280</v>
      </c>
      <c r="N214" s="1">
        <v>265.38</v>
      </c>
      <c r="O214" s="1">
        <f>(ordersTable[[#This Row],[Quantity]]*ordersTable[[#This Row],[UnitPrice]])-ordersTable[[#This Row],[TotalPrice]]</f>
        <v>0</v>
      </c>
    </row>
    <row r="215" spans="1:15" x14ac:dyDescent="0.3">
      <c r="A215" s="1" t="s">
        <v>227</v>
      </c>
      <c r="B215" s="2">
        <v>45036</v>
      </c>
      <c r="C215" s="3" t="s">
        <v>1427</v>
      </c>
      <c r="D215" s="1" t="s">
        <v>2408</v>
      </c>
      <c r="E215" s="5">
        <v>1</v>
      </c>
      <c r="F215" s="4">
        <v>634.4</v>
      </c>
      <c r="G215" s="1" t="s">
        <v>2596</v>
      </c>
      <c r="H215" s="1" t="s">
        <v>3069</v>
      </c>
      <c r="I215" s="1" t="s">
        <v>3071</v>
      </c>
      <c r="J215" s="1" t="s">
        <v>3288</v>
      </c>
      <c r="K215" s="1">
        <v>6</v>
      </c>
      <c r="L215" s="1" t="s">
        <v>4275</v>
      </c>
      <c r="M215" s="1" t="s">
        <v>4280</v>
      </c>
      <c r="N215" s="1">
        <v>634.4</v>
      </c>
      <c r="O215" s="1">
        <f>(ordersTable[[#This Row],[Quantity]]*ordersTable[[#This Row],[UnitPrice]])-ordersTable[[#This Row],[TotalPrice]]</f>
        <v>0</v>
      </c>
    </row>
    <row r="216" spans="1:15" x14ac:dyDescent="0.3">
      <c r="A216" s="1" t="s">
        <v>228</v>
      </c>
      <c r="B216" s="2">
        <v>45525</v>
      </c>
      <c r="C216" s="3" t="s">
        <v>1428</v>
      </c>
      <c r="D216" s="1" t="s">
        <v>2409</v>
      </c>
      <c r="E216" s="5">
        <v>4</v>
      </c>
      <c r="F216" s="4">
        <v>305.72000000000003</v>
      </c>
      <c r="G216" s="1" t="s">
        <v>2523</v>
      </c>
      <c r="H216" s="1" t="s">
        <v>3066</v>
      </c>
      <c r="I216" s="1" t="s">
        <v>3073</v>
      </c>
      <c r="J216" s="1" t="s">
        <v>3289</v>
      </c>
      <c r="K216" s="1">
        <v>5</v>
      </c>
      <c r="M216" s="1" t="s">
        <v>4281</v>
      </c>
      <c r="N216" s="1">
        <v>1222.8800000000001</v>
      </c>
      <c r="O216" s="1">
        <f>(ordersTable[[#This Row],[Quantity]]*ordersTable[[#This Row],[UnitPrice]])-ordersTable[[#This Row],[TotalPrice]]</f>
        <v>0</v>
      </c>
    </row>
    <row r="217" spans="1:15" x14ac:dyDescent="0.3">
      <c r="A217" s="1" t="s">
        <v>229</v>
      </c>
      <c r="B217" s="2">
        <v>45148</v>
      </c>
      <c r="C217" s="3" t="s">
        <v>1429</v>
      </c>
      <c r="D217" s="1" t="s">
        <v>2407</v>
      </c>
      <c r="E217" s="5">
        <v>1</v>
      </c>
      <c r="F217" s="4">
        <v>303.60000000000002</v>
      </c>
      <c r="G217" s="1" t="s">
        <v>2597</v>
      </c>
      <c r="H217" s="1" t="s">
        <v>3069</v>
      </c>
      <c r="I217" s="1" t="s">
        <v>3070</v>
      </c>
      <c r="J217" s="1" t="s">
        <v>3290</v>
      </c>
      <c r="K217" s="1">
        <v>5</v>
      </c>
      <c r="L217" s="1" t="s">
        <v>4276</v>
      </c>
      <c r="M217" s="1" t="s">
        <v>4281</v>
      </c>
      <c r="N217" s="1">
        <v>303.60000000000002</v>
      </c>
      <c r="O217" s="1">
        <f>(ordersTable[[#This Row],[Quantity]]*ordersTable[[#This Row],[UnitPrice]])-ordersTable[[#This Row],[TotalPrice]]</f>
        <v>0</v>
      </c>
    </row>
    <row r="218" spans="1:15" x14ac:dyDescent="0.3">
      <c r="A218" s="1" t="s">
        <v>230</v>
      </c>
      <c r="B218" s="2">
        <v>45762</v>
      </c>
      <c r="C218" s="3" t="s">
        <v>1430</v>
      </c>
      <c r="D218" s="1" t="s">
        <v>2403</v>
      </c>
      <c r="E218" s="5">
        <v>4</v>
      </c>
      <c r="F218" s="4">
        <v>496</v>
      </c>
      <c r="G218" s="1" t="s">
        <v>2465</v>
      </c>
      <c r="H218" s="1" t="s">
        <v>3066</v>
      </c>
      <c r="I218" s="1" t="s">
        <v>3071</v>
      </c>
      <c r="J218" s="1" t="s">
        <v>3291</v>
      </c>
      <c r="K218" s="1">
        <v>8</v>
      </c>
      <c r="L218" s="1" t="s">
        <v>4277</v>
      </c>
      <c r="M218" s="1" t="s">
        <v>4282</v>
      </c>
      <c r="N218" s="1">
        <v>1984</v>
      </c>
      <c r="O218" s="1">
        <f>(ordersTable[[#This Row],[Quantity]]*ordersTable[[#This Row],[UnitPrice]])-ordersTable[[#This Row],[TotalPrice]]</f>
        <v>0</v>
      </c>
    </row>
    <row r="219" spans="1:15" x14ac:dyDescent="0.3">
      <c r="A219" s="1" t="s">
        <v>231</v>
      </c>
      <c r="B219" s="2">
        <v>45432</v>
      </c>
      <c r="C219" s="3" t="s">
        <v>1431</v>
      </c>
      <c r="D219" s="1" t="s">
        <v>2409</v>
      </c>
      <c r="E219" s="5">
        <v>4</v>
      </c>
      <c r="F219" s="4">
        <v>321.51</v>
      </c>
      <c r="G219" s="1" t="s">
        <v>2598</v>
      </c>
      <c r="H219" s="1" t="s">
        <v>3069</v>
      </c>
      <c r="I219" s="1" t="s">
        <v>3072</v>
      </c>
      <c r="J219" s="1" t="s">
        <v>3292</v>
      </c>
      <c r="K219" s="1">
        <v>9</v>
      </c>
      <c r="M219" s="1" t="s">
        <v>4282</v>
      </c>
      <c r="N219" s="1">
        <v>1286.04</v>
      </c>
      <c r="O219" s="1">
        <f>(ordersTable[[#This Row],[Quantity]]*ordersTable[[#This Row],[UnitPrice]])-ordersTable[[#This Row],[TotalPrice]]</f>
        <v>0</v>
      </c>
    </row>
    <row r="220" spans="1:15" x14ac:dyDescent="0.3">
      <c r="A220" s="1" t="s">
        <v>232</v>
      </c>
      <c r="B220" s="2">
        <v>45044</v>
      </c>
      <c r="C220" s="3" t="s">
        <v>1432</v>
      </c>
      <c r="D220" s="1" t="s">
        <v>2405</v>
      </c>
      <c r="E220" s="5">
        <v>3</v>
      </c>
      <c r="F220" s="4">
        <v>112.46</v>
      </c>
      <c r="G220" s="1" t="s">
        <v>2599</v>
      </c>
      <c r="H220" s="1" t="s">
        <v>3068</v>
      </c>
      <c r="I220" s="1" t="s">
        <v>3070</v>
      </c>
      <c r="J220" s="1" t="s">
        <v>3293</v>
      </c>
      <c r="K220" s="1">
        <v>6</v>
      </c>
      <c r="L220" s="1" t="s">
        <v>4275</v>
      </c>
      <c r="M220" s="1" t="s">
        <v>4278</v>
      </c>
      <c r="N220" s="1">
        <v>337.38</v>
      </c>
      <c r="O220" s="1">
        <f>(ordersTable[[#This Row],[Quantity]]*ordersTable[[#This Row],[UnitPrice]])-ordersTable[[#This Row],[TotalPrice]]</f>
        <v>0</v>
      </c>
    </row>
    <row r="221" spans="1:15" x14ac:dyDescent="0.3">
      <c r="A221" s="1" t="s">
        <v>233</v>
      </c>
      <c r="B221" s="2">
        <v>45779</v>
      </c>
      <c r="C221" s="3" t="s">
        <v>1433</v>
      </c>
      <c r="D221" s="1" t="s">
        <v>2408</v>
      </c>
      <c r="E221" s="5">
        <v>5</v>
      </c>
      <c r="F221" s="4">
        <v>61.97</v>
      </c>
      <c r="G221" s="1" t="s">
        <v>2600</v>
      </c>
      <c r="H221" s="1" t="s">
        <v>3069</v>
      </c>
      <c r="I221" s="1" t="s">
        <v>3073</v>
      </c>
      <c r="J221" s="1" t="s">
        <v>3294</v>
      </c>
      <c r="K221" s="1">
        <v>6</v>
      </c>
      <c r="L221" s="1" t="s">
        <v>4275</v>
      </c>
      <c r="M221" s="1" t="s">
        <v>4280</v>
      </c>
      <c r="N221" s="1">
        <v>309.85000000000002</v>
      </c>
      <c r="O221" s="1">
        <f>(ordersTable[[#This Row],[Quantity]]*ordersTable[[#This Row],[UnitPrice]])-ordersTable[[#This Row],[TotalPrice]]</f>
        <v>0</v>
      </c>
    </row>
    <row r="222" spans="1:15" x14ac:dyDescent="0.3">
      <c r="A222" s="1" t="s">
        <v>234</v>
      </c>
      <c r="B222" s="2">
        <v>45125</v>
      </c>
      <c r="C222" s="3" t="s">
        <v>1434</v>
      </c>
      <c r="D222" s="1" t="s">
        <v>2408</v>
      </c>
      <c r="E222" s="5">
        <v>2</v>
      </c>
      <c r="F222" s="4">
        <v>373.17</v>
      </c>
      <c r="G222" s="1" t="s">
        <v>2601</v>
      </c>
      <c r="H222" s="1" t="s">
        <v>3067</v>
      </c>
      <c r="I222" s="1" t="s">
        <v>3074</v>
      </c>
      <c r="J222" s="1" t="s">
        <v>3295</v>
      </c>
      <c r="K222" s="1">
        <v>6</v>
      </c>
      <c r="L222" s="1" t="s">
        <v>4275</v>
      </c>
      <c r="M222" s="1" t="s">
        <v>4279</v>
      </c>
      <c r="N222" s="1">
        <v>746.34</v>
      </c>
      <c r="O222" s="1">
        <f>(ordersTable[[#This Row],[Quantity]]*ordersTable[[#This Row],[UnitPrice]])-ordersTable[[#This Row],[TotalPrice]]</f>
        <v>0</v>
      </c>
    </row>
    <row r="223" spans="1:15" x14ac:dyDescent="0.3">
      <c r="A223" s="1" t="s">
        <v>235</v>
      </c>
      <c r="B223" s="2">
        <v>45345</v>
      </c>
      <c r="C223" s="3" t="s">
        <v>1435</v>
      </c>
      <c r="D223" s="1" t="s">
        <v>2405</v>
      </c>
      <c r="E223" s="5">
        <v>5</v>
      </c>
      <c r="F223" s="4">
        <v>639.37</v>
      </c>
      <c r="G223" s="1" t="s">
        <v>2474</v>
      </c>
      <c r="H223" s="1" t="s">
        <v>3065</v>
      </c>
      <c r="I223" s="1" t="s">
        <v>3074</v>
      </c>
      <c r="J223" s="1" t="s">
        <v>3296</v>
      </c>
      <c r="K223" s="1">
        <v>6</v>
      </c>
      <c r="L223" s="1" t="s">
        <v>4275</v>
      </c>
      <c r="M223" s="1" t="s">
        <v>4282</v>
      </c>
      <c r="N223" s="1">
        <v>3196.85</v>
      </c>
      <c r="O223" s="1">
        <f>(ordersTable[[#This Row],[Quantity]]*ordersTable[[#This Row],[UnitPrice]])-ordersTable[[#This Row],[TotalPrice]]</f>
        <v>0</v>
      </c>
    </row>
    <row r="224" spans="1:15" x14ac:dyDescent="0.3">
      <c r="A224" s="1" t="s">
        <v>236</v>
      </c>
      <c r="B224" s="2">
        <v>45050</v>
      </c>
      <c r="C224" s="3" t="s">
        <v>1436</v>
      </c>
      <c r="D224" s="1" t="s">
        <v>2406</v>
      </c>
      <c r="E224" s="5">
        <v>4</v>
      </c>
      <c r="F224" s="4">
        <v>693.36</v>
      </c>
      <c r="G224" s="1" t="s">
        <v>2602</v>
      </c>
      <c r="H224" s="1" t="s">
        <v>3066</v>
      </c>
      <c r="I224" s="1" t="s">
        <v>3070</v>
      </c>
      <c r="J224" s="1" t="s">
        <v>3297</v>
      </c>
      <c r="K224" s="1">
        <v>8</v>
      </c>
      <c r="M224" s="1" t="s">
        <v>4278</v>
      </c>
      <c r="N224" s="1">
        <v>2773.44</v>
      </c>
      <c r="O224" s="1">
        <f>(ordersTable[[#This Row],[Quantity]]*ordersTable[[#This Row],[UnitPrice]])-ordersTable[[#This Row],[TotalPrice]]</f>
        <v>0</v>
      </c>
    </row>
    <row r="225" spans="1:15" x14ac:dyDescent="0.3">
      <c r="A225" s="1" t="s">
        <v>237</v>
      </c>
      <c r="B225" s="2">
        <v>45546</v>
      </c>
      <c r="C225" s="3" t="s">
        <v>1437</v>
      </c>
      <c r="D225" s="1" t="s">
        <v>2404</v>
      </c>
      <c r="E225" s="5">
        <v>4</v>
      </c>
      <c r="F225" s="4">
        <v>692.91</v>
      </c>
      <c r="G225" s="1" t="s">
        <v>2523</v>
      </c>
      <c r="H225" s="1" t="s">
        <v>3067</v>
      </c>
      <c r="I225" s="1" t="s">
        <v>3074</v>
      </c>
      <c r="J225" s="1" t="s">
        <v>3298</v>
      </c>
      <c r="K225" s="1">
        <v>9</v>
      </c>
      <c r="L225" s="1" t="s">
        <v>4275</v>
      </c>
      <c r="M225" s="1" t="s">
        <v>4278</v>
      </c>
      <c r="N225" s="1">
        <v>2771.64</v>
      </c>
      <c r="O225" s="1">
        <f>(ordersTable[[#This Row],[Quantity]]*ordersTable[[#This Row],[UnitPrice]])-ordersTable[[#This Row],[TotalPrice]]</f>
        <v>0</v>
      </c>
    </row>
    <row r="226" spans="1:15" x14ac:dyDescent="0.3">
      <c r="A226" s="1" t="s">
        <v>238</v>
      </c>
      <c r="B226" s="2">
        <v>45192</v>
      </c>
      <c r="C226" s="3" t="s">
        <v>1438</v>
      </c>
      <c r="D226" s="1" t="s">
        <v>2407</v>
      </c>
      <c r="E226" s="5">
        <v>4</v>
      </c>
      <c r="F226" s="4">
        <v>91.46</v>
      </c>
      <c r="G226" s="1" t="s">
        <v>2603</v>
      </c>
      <c r="H226" s="1" t="s">
        <v>3069</v>
      </c>
      <c r="I226" s="1" t="s">
        <v>3071</v>
      </c>
      <c r="J226" s="1" t="s">
        <v>3299</v>
      </c>
      <c r="K226" s="1">
        <v>9</v>
      </c>
      <c r="L226" s="1" t="s">
        <v>4275</v>
      </c>
      <c r="M226" s="1" t="s">
        <v>4279</v>
      </c>
      <c r="N226" s="1">
        <v>365.84</v>
      </c>
      <c r="O226" s="1">
        <f>(ordersTable[[#This Row],[Quantity]]*ordersTable[[#This Row],[UnitPrice]])-ordersTable[[#This Row],[TotalPrice]]</f>
        <v>0</v>
      </c>
    </row>
    <row r="227" spans="1:15" x14ac:dyDescent="0.3">
      <c r="A227" s="1" t="s">
        <v>239</v>
      </c>
      <c r="B227" s="2">
        <v>45364</v>
      </c>
      <c r="C227" s="3" t="s">
        <v>1439</v>
      </c>
      <c r="D227" s="1" t="s">
        <v>2404</v>
      </c>
      <c r="E227" s="5">
        <v>3</v>
      </c>
      <c r="F227" s="4">
        <v>273.95999999999998</v>
      </c>
      <c r="G227" s="1" t="s">
        <v>2604</v>
      </c>
      <c r="H227" s="1" t="s">
        <v>3065</v>
      </c>
      <c r="I227" s="1" t="s">
        <v>3072</v>
      </c>
      <c r="J227" s="1" t="s">
        <v>3300</v>
      </c>
      <c r="K227" s="1">
        <v>8</v>
      </c>
      <c r="L227" s="1" t="s">
        <v>4275</v>
      </c>
      <c r="M227" s="1" t="s">
        <v>4282</v>
      </c>
      <c r="N227" s="1">
        <v>821.87999999999988</v>
      </c>
      <c r="O227" s="1">
        <f>(ordersTable[[#This Row],[Quantity]]*ordersTable[[#This Row],[UnitPrice]])-ordersTable[[#This Row],[TotalPrice]]</f>
        <v>0</v>
      </c>
    </row>
    <row r="228" spans="1:15" x14ac:dyDescent="0.3">
      <c r="A228" s="1" t="s">
        <v>240</v>
      </c>
      <c r="B228" s="2">
        <v>45835</v>
      </c>
      <c r="C228" s="3" t="s">
        <v>1440</v>
      </c>
      <c r="D228" s="1" t="s">
        <v>2409</v>
      </c>
      <c r="E228" s="5">
        <v>3</v>
      </c>
      <c r="F228" s="4">
        <v>588.04999999999995</v>
      </c>
      <c r="G228" s="1" t="s">
        <v>2605</v>
      </c>
      <c r="H228" s="1" t="s">
        <v>3068</v>
      </c>
      <c r="I228" s="1" t="s">
        <v>3073</v>
      </c>
      <c r="J228" s="1" t="s">
        <v>3301</v>
      </c>
      <c r="K228" s="1">
        <v>8</v>
      </c>
      <c r="M228" s="1" t="s">
        <v>4278</v>
      </c>
      <c r="N228" s="1">
        <v>1764.15</v>
      </c>
      <c r="O228" s="1">
        <f>(ordersTable[[#This Row],[Quantity]]*ordersTable[[#This Row],[UnitPrice]])-ordersTable[[#This Row],[TotalPrice]]</f>
        <v>0</v>
      </c>
    </row>
    <row r="229" spans="1:15" x14ac:dyDescent="0.3">
      <c r="A229" s="1" t="s">
        <v>241</v>
      </c>
      <c r="B229" s="2">
        <v>45232</v>
      </c>
      <c r="C229" s="3" t="s">
        <v>1441</v>
      </c>
      <c r="D229" s="1" t="s">
        <v>2403</v>
      </c>
      <c r="E229" s="5">
        <v>2</v>
      </c>
      <c r="F229" s="4">
        <v>365.17</v>
      </c>
      <c r="G229" s="1" t="s">
        <v>2528</v>
      </c>
      <c r="H229" s="1" t="s">
        <v>3066</v>
      </c>
      <c r="I229" s="1" t="s">
        <v>3071</v>
      </c>
      <c r="J229" s="1" t="s">
        <v>3302</v>
      </c>
      <c r="K229" s="1">
        <v>4</v>
      </c>
      <c r="L229" s="1" t="s">
        <v>4276</v>
      </c>
      <c r="M229" s="1" t="s">
        <v>4281</v>
      </c>
      <c r="N229" s="1">
        <v>730.34</v>
      </c>
      <c r="O229" s="1">
        <f>(ordersTable[[#This Row],[Quantity]]*ordersTable[[#This Row],[UnitPrice]])-ordersTable[[#This Row],[TotalPrice]]</f>
        <v>0</v>
      </c>
    </row>
    <row r="230" spans="1:15" x14ac:dyDescent="0.3">
      <c r="A230" s="1" t="s">
        <v>242</v>
      </c>
      <c r="B230" s="2">
        <v>45063</v>
      </c>
      <c r="C230" s="3" t="s">
        <v>1442</v>
      </c>
      <c r="D230" s="1" t="s">
        <v>2406</v>
      </c>
      <c r="E230" s="5">
        <v>4</v>
      </c>
      <c r="F230" s="4">
        <v>385.92</v>
      </c>
      <c r="G230" s="1" t="s">
        <v>2606</v>
      </c>
      <c r="H230" s="1" t="s">
        <v>3067</v>
      </c>
      <c r="I230" s="1" t="s">
        <v>3071</v>
      </c>
      <c r="J230" s="1" t="s">
        <v>3303</v>
      </c>
      <c r="K230" s="1">
        <v>8</v>
      </c>
      <c r="M230" s="1" t="s">
        <v>4278</v>
      </c>
      <c r="N230" s="1">
        <v>1543.68</v>
      </c>
      <c r="O230" s="1">
        <f>(ordersTable[[#This Row],[Quantity]]*ordersTable[[#This Row],[UnitPrice]])-ordersTable[[#This Row],[TotalPrice]]</f>
        <v>0</v>
      </c>
    </row>
    <row r="231" spans="1:15" x14ac:dyDescent="0.3">
      <c r="A231" s="1" t="s">
        <v>243</v>
      </c>
      <c r="B231" s="2">
        <v>45744</v>
      </c>
      <c r="C231" s="3" t="s">
        <v>1443</v>
      </c>
      <c r="D231" s="1" t="s">
        <v>2405</v>
      </c>
      <c r="E231" s="5">
        <v>1</v>
      </c>
      <c r="F231" s="4">
        <v>562.61</v>
      </c>
      <c r="G231" s="1" t="s">
        <v>2607</v>
      </c>
      <c r="H231" s="1" t="s">
        <v>3067</v>
      </c>
      <c r="I231" s="1" t="s">
        <v>3073</v>
      </c>
      <c r="J231" s="1" t="s">
        <v>3304</v>
      </c>
      <c r="K231" s="1">
        <v>3</v>
      </c>
      <c r="L231" s="1" t="s">
        <v>4277</v>
      </c>
      <c r="M231" s="1" t="s">
        <v>4281</v>
      </c>
      <c r="N231" s="1">
        <v>562.61</v>
      </c>
      <c r="O231" s="1">
        <f>(ordersTable[[#This Row],[Quantity]]*ordersTable[[#This Row],[UnitPrice]])-ordersTable[[#This Row],[TotalPrice]]</f>
        <v>0</v>
      </c>
    </row>
    <row r="232" spans="1:15" x14ac:dyDescent="0.3">
      <c r="A232" s="1" t="s">
        <v>244</v>
      </c>
      <c r="B232" s="2">
        <v>45276</v>
      </c>
      <c r="C232" s="3" t="s">
        <v>1444</v>
      </c>
      <c r="D232" s="1" t="s">
        <v>2409</v>
      </c>
      <c r="E232" s="5">
        <v>4</v>
      </c>
      <c r="F232" s="4">
        <v>61.91</v>
      </c>
      <c r="G232" s="1" t="s">
        <v>2608</v>
      </c>
      <c r="H232" s="1" t="s">
        <v>3068</v>
      </c>
      <c r="I232" s="1" t="s">
        <v>3073</v>
      </c>
      <c r="J232" s="1" t="s">
        <v>3305</v>
      </c>
      <c r="K232" s="1">
        <v>6</v>
      </c>
      <c r="L232" s="1" t="s">
        <v>4277</v>
      </c>
      <c r="M232" s="1" t="s">
        <v>4280</v>
      </c>
      <c r="N232" s="1">
        <v>247.64</v>
      </c>
      <c r="O232" s="1">
        <f>(ordersTable[[#This Row],[Quantity]]*ordersTable[[#This Row],[UnitPrice]])-ordersTable[[#This Row],[TotalPrice]]</f>
        <v>0</v>
      </c>
    </row>
    <row r="233" spans="1:15" x14ac:dyDescent="0.3">
      <c r="A233" s="1" t="s">
        <v>245</v>
      </c>
      <c r="B233" s="2">
        <v>45235</v>
      </c>
      <c r="C233" s="3" t="s">
        <v>1445</v>
      </c>
      <c r="D233" s="1" t="s">
        <v>2404</v>
      </c>
      <c r="E233" s="5">
        <v>4</v>
      </c>
      <c r="F233" s="4">
        <v>41.9</v>
      </c>
      <c r="G233" s="1" t="s">
        <v>2609</v>
      </c>
      <c r="H233" s="1" t="s">
        <v>3068</v>
      </c>
      <c r="I233" s="1" t="s">
        <v>3074</v>
      </c>
      <c r="J233" s="1" t="s">
        <v>3306</v>
      </c>
      <c r="K233" s="1">
        <v>9</v>
      </c>
      <c r="L233" s="1" t="s">
        <v>4276</v>
      </c>
      <c r="M233" s="1" t="s">
        <v>4278</v>
      </c>
      <c r="N233" s="1">
        <v>167.6</v>
      </c>
      <c r="O233" s="1">
        <f>(ordersTable[[#This Row],[Quantity]]*ordersTable[[#This Row],[UnitPrice]])-ordersTable[[#This Row],[TotalPrice]]</f>
        <v>0</v>
      </c>
    </row>
    <row r="234" spans="1:15" x14ac:dyDescent="0.3">
      <c r="A234" s="1" t="s">
        <v>246</v>
      </c>
      <c r="B234" s="2">
        <v>45065</v>
      </c>
      <c r="C234" s="3" t="s">
        <v>1446</v>
      </c>
      <c r="D234" s="1" t="s">
        <v>2407</v>
      </c>
      <c r="E234" s="5">
        <v>4</v>
      </c>
      <c r="F234" s="4">
        <v>444.44</v>
      </c>
      <c r="G234" s="1" t="s">
        <v>2610</v>
      </c>
      <c r="H234" s="1" t="s">
        <v>3065</v>
      </c>
      <c r="I234" s="1" t="s">
        <v>3071</v>
      </c>
      <c r="J234" s="1" t="s">
        <v>3307</v>
      </c>
      <c r="K234" s="1">
        <v>8</v>
      </c>
      <c r="L234" s="1" t="s">
        <v>4277</v>
      </c>
      <c r="M234" s="1" t="s">
        <v>4282</v>
      </c>
      <c r="N234" s="1">
        <v>1777.76</v>
      </c>
      <c r="O234" s="1">
        <f>(ordersTable[[#This Row],[Quantity]]*ordersTable[[#This Row],[UnitPrice]])-ordersTable[[#This Row],[TotalPrice]]</f>
        <v>0</v>
      </c>
    </row>
    <row r="235" spans="1:15" x14ac:dyDescent="0.3">
      <c r="A235" s="1" t="s">
        <v>247</v>
      </c>
      <c r="B235" s="2">
        <v>45528</v>
      </c>
      <c r="C235" s="3" t="s">
        <v>1447</v>
      </c>
      <c r="D235" s="1" t="s">
        <v>2404</v>
      </c>
      <c r="E235" s="5">
        <v>3</v>
      </c>
      <c r="F235" s="4">
        <v>311.33</v>
      </c>
      <c r="G235" s="1" t="s">
        <v>2482</v>
      </c>
      <c r="H235" s="1" t="s">
        <v>3069</v>
      </c>
      <c r="I235" s="1" t="s">
        <v>3071</v>
      </c>
      <c r="J235" s="1" t="s">
        <v>3308</v>
      </c>
      <c r="K235" s="1">
        <v>3</v>
      </c>
      <c r="L235" s="1" t="s">
        <v>4277</v>
      </c>
      <c r="M235" s="1" t="s">
        <v>4278</v>
      </c>
      <c r="N235" s="1">
        <v>933.99</v>
      </c>
      <c r="O235" s="1">
        <f>(ordersTable[[#This Row],[Quantity]]*ordersTable[[#This Row],[UnitPrice]])-ordersTable[[#This Row],[TotalPrice]]</f>
        <v>0</v>
      </c>
    </row>
    <row r="236" spans="1:15" x14ac:dyDescent="0.3">
      <c r="A236" s="1" t="s">
        <v>248</v>
      </c>
      <c r="B236" s="2">
        <v>45622</v>
      </c>
      <c r="C236" s="3" t="s">
        <v>1448</v>
      </c>
      <c r="D236" s="1" t="s">
        <v>2407</v>
      </c>
      <c r="E236" s="5">
        <v>4</v>
      </c>
      <c r="F236" s="4">
        <v>236.41</v>
      </c>
      <c r="G236" s="1" t="s">
        <v>2611</v>
      </c>
      <c r="H236" s="1" t="s">
        <v>3065</v>
      </c>
      <c r="I236" s="1" t="s">
        <v>3074</v>
      </c>
      <c r="J236" s="1" t="s">
        <v>3309</v>
      </c>
      <c r="K236" s="1">
        <v>7</v>
      </c>
      <c r="L236" s="1" t="s">
        <v>4275</v>
      </c>
      <c r="M236" s="1" t="s">
        <v>4282</v>
      </c>
      <c r="N236" s="1">
        <v>945.64</v>
      </c>
      <c r="O236" s="1">
        <f>(ordersTable[[#This Row],[Quantity]]*ordersTable[[#This Row],[UnitPrice]])-ordersTable[[#This Row],[TotalPrice]]</f>
        <v>0</v>
      </c>
    </row>
    <row r="237" spans="1:15" x14ac:dyDescent="0.3">
      <c r="A237" s="1" t="s">
        <v>249</v>
      </c>
      <c r="B237" s="2">
        <v>44977</v>
      </c>
      <c r="C237" s="3" t="s">
        <v>1449</v>
      </c>
      <c r="D237" s="1" t="s">
        <v>2409</v>
      </c>
      <c r="E237" s="5">
        <v>1</v>
      </c>
      <c r="F237" s="4">
        <v>65.45</v>
      </c>
      <c r="G237" s="1" t="s">
        <v>2612</v>
      </c>
      <c r="H237" s="1" t="s">
        <v>3069</v>
      </c>
      <c r="I237" s="1" t="s">
        <v>3074</v>
      </c>
      <c r="J237" s="1" t="s">
        <v>3310</v>
      </c>
      <c r="K237" s="1">
        <v>2</v>
      </c>
      <c r="L237" s="1" t="s">
        <v>4277</v>
      </c>
      <c r="M237" s="1" t="s">
        <v>4282</v>
      </c>
      <c r="N237" s="1">
        <v>65.45</v>
      </c>
      <c r="O237" s="1">
        <f>(ordersTable[[#This Row],[Quantity]]*ordersTable[[#This Row],[UnitPrice]])-ordersTable[[#This Row],[TotalPrice]]</f>
        <v>0</v>
      </c>
    </row>
    <row r="238" spans="1:15" x14ac:dyDescent="0.3">
      <c r="A238" s="1" t="s">
        <v>250</v>
      </c>
      <c r="B238" s="2">
        <v>44927</v>
      </c>
      <c r="C238" s="3" t="s">
        <v>1450</v>
      </c>
      <c r="D238" s="1" t="s">
        <v>2403</v>
      </c>
      <c r="E238" s="5">
        <v>1</v>
      </c>
      <c r="F238" s="4">
        <v>318.81</v>
      </c>
      <c r="G238" s="1" t="s">
        <v>2613</v>
      </c>
      <c r="H238" s="1" t="s">
        <v>3065</v>
      </c>
      <c r="I238" s="1" t="s">
        <v>3074</v>
      </c>
      <c r="J238" s="1" t="s">
        <v>3311</v>
      </c>
      <c r="K238" s="1">
        <v>3</v>
      </c>
      <c r="L238" s="1" t="s">
        <v>4277</v>
      </c>
      <c r="M238" s="1" t="s">
        <v>4280</v>
      </c>
      <c r="N238" s="1">
        <v>318.81</v>
      </c>
      <c r="O238" s="1">
        <f>(ordersTable[[#This Row],[Quantity]]*ordersTable[[#This Row],[UnitPrice]])-ordersTable[[#This Row],[TotalPrice]]</f>
        <v>0</v>
      </c>
    </row>
    <row r="239" spans="1:15" x14ac:dyDescent="0.3">
      <c r="A239" s="1" t="s">
        <v>251</v>
      </c>
      <c r="B239" s="2">
        <v>45365</v>
      </c>
      <c r="C239" s="3" t="s">
        <v>1451</v>
      </c>
      <c r="D239" s="1" t="s">
        <v>2403</v>
      </c>
      <c r="E239" s="5">
        <v>3</v>
      </c>
      <c r="F239" s="4">
        <v>583.72</v>
      </c>
      <c r="G239" s="1" t="s">
        <v>2614</v>
      </c>
      <c r="H239" s="1" t="s">
        <v>3067</v>
      </c>
      <c r="I239" s="1" t="s">
        <v>3070</v>
      </c>
      <c r="J239" s="1" t="s">
        <v>3312</v>
      </c>
      <c r="K239" s="1">
        <v>5</v>
      </c>
      <c r="L239" s="1" t="s">
        <v>4276</v>
      </c>
      <c r="M239" s="1" t="s">
        <v>4281</v>
      </c>
      <c r="N239" s="1">
        <v>1751.16</v>
      </c>
      <c r="O239" s="1">
        <f>(ordersTable[[#This Row],[Quantity]]*ordersTable[[#This Row],[UnitPrice]])-ordersTable[[#This Row],[TotalPrice]]</f>
        <v>0</v>
      </c>
    </row>
    <row r="240" spans="1:15" x14ac:dyDescent="0.3">
      <c r="A240" s="1" t="s">
        <v>252</v>
      </c>
      <c r="B240" s="2">
        <v>45639</v>
      </c>
      <c r="C240" s="3" t="s">
        <v>1452</v>
      </c>
      <c r="D240" s="1" t="s">
        <v>2409</v>
      </c>
      <c r="E240" s="5">
        <v>4</v>
      </c>
      <c r="F240" s="4">
        <v>384.32</v>
      </c>
      <c r="G240" s="1" t="s">
        <v>2615</v>
      </c>
      <c r="H240" s="1" t="s">
        <v>3067</v>
      </c>
      <c r="I240" s="1" t="s">
        <v>3074</v>
      </c>
      <c r="J240" s="1" t="s">
        <v>3313</v>
      </c>
      <c r="K240" s="1">
        <v>6</v>
      </c>
      <c r="L240" s="1" t="s">
        <v>4277</v>
      </c>
      <c r="M240" s="1" t="s">
        <v>4282</v>
      </c>
      <c r="N240" s="1">
        <v>1537.28</v>
      </c>
      <c r="O240" s="1">
        <f>(ordersTable[[#This Row],[Quantity]]*ordersTable[[#This Row],[UnitPrice]])-ordersTable[[#This Row],[TotalPrice]]</f>
        <v>0</v>
      </c>
    </row>
    <row r="241" spans="1:15" x14ac:dyDescent="0.3">
      <c r="A241" s="1" t="s">
        <v>253</v>
      </c>
      <c r="B241" s="2">
        <v>45637</v>
      </c>
      <c r="C241" s="3" t="s">
        <v>1453</v>
      </c>
      <c r="D241" s="1" t="s">
        <v>2405</v>
      </c>
      <c r="E241" s="5">
        <v>3</v>
      </c>
      <c r="F241" s="4">
        <v>538.74</v>
      </c>
      <c r="G241" s="1" t="s">
        <v>2616</v>
      </c>
      <c r="H241" s="1" t="s">
        <v>3066</v>
      </c>
      <c r="I241" s="1" t="s">
        <v>3070</v>
      </c>
      <c r="J241" s="1" t="s">
        <v>3314</v>
      </c>
      <c r="K241" s="1">
        <v>6</v>
      </c>
      <c r="L241" s="1" t="s">
        <v>4276</v>
      </c>
      <c r="M241" s="1" t="s">
        <v>4280</v>
      </c>
      <c r="N241" s="1">
        <v>1616.22</v>
      </c>
      <c r="O241" s="1">
        <f>(ordersTable[[#This Row],[Quantity]]*ordersTable[[#This Row],[UnitPrice]])-ordersTable[[#This Row],[TotalPrice]]</f>
        <v>0</v>
      </c>
    </row>
    <row r="242" spans="1:15" x14ac:dyDescent="0.3">
      <c r="A242" s="1" t="s">
        <v>254</v>
      </c>
      <c r="B242" s="2">
        <v>45119</v>
      </c>
      <c r="C242" s="3" t="s">
        <v>1454</v>
      </c>
      <c r="D242" s="1" t="s">
        <v>2405</v>
      </c>
      <c r="E242" s="5">
        <v>1</v>
      </c>
      <c r="F242" s="4">
        <v>17.239999999999998</v>
      </c>
      <c r="G242" s="1" t="s">
        <v>2617</v>
      </c>
      <c r="H242" s="1" t="s">
        <v>3066</v>
      </c>
      <c r="I242" s="1" t="s">
        <v>3074</v>
      </c>
      <c r="J242" s="1" t="s">
        <v>3315</v>
      </c>
      <c r="K242" s="1">
        <v>2</v>
      </c>
      <c r="L242" s="1" t="s">
        <v>4276</v>
      </c>
      <c r="M242" s="1" t="s">
        <v>4278</v>
      </c>
      <c r="N242" s="1">
        <v>17.239999999999998</v>
      </c>
      <c r="O242" s="1">
        <f>(ordersTable[[#This Row],[Quantity]]*ordersTable[[#This Row],[UnitPrice]])-ordersTable[[#This Row],[TotalPrice]]</f>
        <v>0</v>
      </c>
    </row>
    <row r="243" spans="1:15" x14ac:dyDescent="0.3">
      <c r="A243" s="1" t="s">
        <v>255</v>
      </c>
      <c r="B243" s="2">
        <v>45062</v>
      </c>
      <c r="C243" s="3" t="s">
        <v>1455</v>
      </c>
      <c r="D243" s="1" t="s">
        <v>2406</v>
      </c>
      <c r="E243" s="5">
        <v>5</v>
      </c>
      <c r="F243" s="4">
        <v>615.66999999999996</v>
      </c>
      <c r="G243" s="1" t="s">
        <v>2618</v>
      </c>
      <c r="H243" s="1" t="s">
        <v>3066</v>
      </c>
      <c r="I243" s="1" t="s">
        <v>3074</v>
      </c>
      <c r="J243" s="1" t="s">
        <v>3316</v>
      </c>
      <c r="K243" s="1">
        <v>6</v>
      </c>
      <c r="L243" s="1" t="s">
        <v>4275</v>
      </c>
      <c r="M243" s="1" t="s">
        <v>4280</v>
      </c>
      <c r="N243" s="1">
        <v>3078.35</v>
      </c>
      <c r="O243" s="1">
        <f>(ordersTable[[#This Row],[Quantity]]*ordersTable[[#This Row],[UnitPrice]])-ordersTable[[#This Row],[TotalPrice]]</f>
        <v>0</v>
      </c>
    </row>
    <row r="244" spans="1:15" x14ac:dyDescent="0.3">
      <c r="A244" s="1" t="s">
        <v>256</v>
      </c>
      <c r="B244" s="2">
        <v>45055</v>
      </c>
      <c r="C244" s="3" t="s">
        <v>1456</v>
      </c>
      <c r="D244" s="1" t="s">
        <v>2407</v>
      </c>
      <c r="E244" s="5">
        <v>2</v>
      </c>
      <c r="F244" s="4">
        <v>219.1</v>
      </c>
      <c r="G244" s="1" t="s">
        <v>2619</v>
      </c>
      <c r="H244" s="1" t="s">
        <v>3066</v>
      </c>
      <c r="I244" s="1" t="s">
        <v>3074</v>
      </c>
      <c r="J244" s="1" t="s">
        <v>3317</v>
      </c>
      <c r="K244" s="1">
        <v>4</v>
      </c>
      <c r="L244" s="1" t="s">
        <v>4275</v>
      </c>
      <c r="M244" s="1" t="s">
        <v>4279</v>
      </c>
      <c r="N244" s="1">
        <v>438.2</v>
      </c>
      <c r="O244" s="1">
        <f>(ordersTable[[#This Row],[Quantity]]*ordersTable[[#This Row],[UnitPrice]])-ordersTable[[#This Row],[TotalPrice]]</f>
        <v>0</v>
      </c>
    </row>
    <row r="245" spans="1:15" x14ac:dyDescent="0.3">
      <c r="A245" s="1" t="s">
        <v>257</v>
      </c>
      <c r="B245" s="2">
        <v>45786</v>
      </c>
      <c r="C245" s="3" t="s">
        <v>1457</v>
      </c>
      <c r="D245" s="1" t="s">
        <v>2406</v>
      </c>
      <c r="E245" s="5">
        <v>2</v>
      </c>
      <c r="F245" s="4">
        <v>144.66</v>
      </c>
      <c r="G245" s="1" t="s">
        <v>2620</v>
      </c>
      <c r="H245" s="1" t="s">
        <v>3066</v>
      </c>
      <c r="I245" s="1" t="s">
        <v>3071</v>
      </c>
      <c r="J245" s="1" t="s">
        <v>3318</v>
      </c>
      <c r="K245" s="1">
        <v>7</v>
      </c>
      <c r="L245" s="1" t="s">
        <v>4276</v>
      </c>
      <c r="M245" s="1" t="s">
        <v>4282</v>
      </c>
      <c r="N245" s="1">
        <v>289.32</v>
      </c>
      <c r="O245" s="1">
        <f>(ordersTable[[#This Row],[Quantity]]*ordersTable[[#This Row],[UnitPrice]])-ordersTable[[#This Row],[TotalPrice]]</f>
        <v>0</v>
      </c>
    </row>
    <row r="246" spans="1:15" x14ac:dyDescent="0.3">
      <c r="A246" s="1" t="s">
        <v>258</v>
      </c>
      <c r="B246" s="2">
        <v>44973</v>
      </c>
      <c r="C246" s="3" t="s">
        <v>1458</v>
      </c>
      <c r="D246" s="1" t="s">
        <v>2409</v>
      </c>
      <c r="E246" s="5">
        <v>2</v>
      </c>
      <c r="F246" s="4">
        <v>317.77</v>
      </c>
      <c r="G246" s="1" t="s">
        <v>2621</v>
      </c>
      <c r="H246" s="1" t="s">
        <v>3065</v>
      </c>
      <c r="I246" s="1" t="s">
        <v>3071</v>
      </c>
      <c r="J246" s="1" t="s">
        <v>3319</v>
      </c>
      <c r="K246" s="1">
        <v>4</v>
      </c>
      <c r="L246" s="1" t="s">
        <v>4277</v>
      </c>
      <c r="M246" s="1" t="s">
        <v>4281</v>
      </c>
      <c r="N246" s="1">
        <v>635.54</v>
      </c>
      <c r="O246" s="1">
        <f>(ordersTable[[#This Row],[Quantity]]*ordersTable[[#This Row],[UnitPrice]])-ordersTable[[#This Row],[TotalPrice]]</f>
        <v>0</v>
      </c>
    </row>
    <row r="247" spans="1:15" x14ac:dyDescent="0.3">
      <c r="A247" s="1" t="s">
        <v>259</v>
      </c>
      <c r="B247" s="2">
        <v>45767</v>
      </c>
      <c r="C247" s="3" t="s">
        <v>1459</v>
      </c>
      <c r="D247" s="1" t="s">
        <v>2408</v>
      </c>
      <c r="E247" s="5">
        <v>1</v>
      </c>
      <c r="F247" s="4">
        <v>223.3</v>
      </c>
      <c r="G247" s="1" t="s">
        <v>2622</v>
      </c>
      <c r="H247" s="1" t="s">
        <v>3066</v>
      </c>
      <c r="I247" s="1" t="s">
        <v>3072</v>
      </c>
      <c r="J247" s="1" t="s">
        <v>3320</v>
      </c>
      <c r="K247" s="1">
        <v>1</v>
      </c>
      <c r="M247" s="1" t="s">
        <v>4281</v>
      </c>
      <c r="N247" s="1">
        <v>223.3</v>
      </c>
      <c r="O247" s="1">
        <f>(ordersTable[[#This Row],[Quantity]]*ordersTable[[#This Row],[UnitPrice]])-ordersTable[[#This Row],[TotalPrice]]</f>
        <v>0</v>
      </c>
    </row>
    <row r="248" spans="1:15" x14ac:dyDescent="0.3">
      <c r="A248" s="1" t="s">
        <v>260</v>
      </c>
      <c r="B248" s="2">
        <v>45534</v>
      </c>
      <c r="C248" s="3" t="s">
        <v>1460</v>
      </c>
      <c r="D248" s="1" t="s">
        <v>2409</v>
      </c>
      <c r="E248" s="5">
        <v>2</v>
      </c>
      <c r="F248" s="4">
        <v>342.11</v>
      </c>
      <c r="G248" s="1" t="s">
        <v>2623</v>
      </c>
      <c r="H248" s="1" t="s">
        <v>3068</v>
      </c>
      <c r="I248" s="1" t="s">
        <v>3070</v>
      </c>
      <c r="J248" s="1" t="s">
        <v>3321</v>
      </c>
      <c r="K248" s="1">
        <v>2</v>
      </c>
      <c r="L248" s="1" t="s">
        <v>4277</v>
      </c>
      <c r="M248" s="1" t="s">
        <v>4278</v>
      </c>
      <c r="N248" s="1">
        <v>684.22</v>
      </c>
      <c r="O248" s="1">
        <f>(ordersTable[[#This Row],[Quantity]]*ordersTable[[#This Row],[UnitPrice]])-ordersTable[[#This Row],[TotalPrice]]</f>
        <v>0</v>
      </c>
    </row>
    <row r="249" spans="1:15" x14ac:dyDescent="0.3">
      <c r="A249" s="1" t="s">
        <v>261</v>
      </c>
      <c r="B249" s="2">
        <v>45127</v>
      </c>
      <c r="C249" s="3" t="s">
        <v>1461</v>
      </c>
      <c r="D249" s="1" t="s">
        <v>2407</v>
      </c>
      <c r="E249" s="5">
        <v>2</v>
      </c>
      <c r="F249" s="4">
        <v>220.9</v>
      </c>
      <c r="G249" s="1" t="s">
        <v>2624</v>
      </c>
      <c r="H249" s="1" t="s">
        <v>3068</v>
      </c>
      <c r="I249" s="1" t="s">
        <v>3070</v>
      </c>
      <c r="J249" s="1" t="s">
        <v>3322</v>
      </c>
      <c r="K249" s="1">
        <v>4</v>
      </c>
      <c r="M249" s="1" t="s">
        <v>4280</v>
      </c>
      <c r="N249" s="1">
        <v>441.8</v>
      </c>
      <c r="O249" s="1">
        <f>(ordersTable[[#This Row],[Quantity]]*ordersTable[[#This Row],[UnitPrice]])-ordersTable[[#This Row],[TotalPrice]]</f>
        <v>0</v>
      </c>
    </row>
    <row r="250" spans="1:15" x14ac:dyDescent="0.3">
      <c r="A250" s="1" t="s">
        <v>262</v>
      </c>
      <c r="B250" s="2">
        <v>45109</v>
      </c>
      <c r="C250" s="3" t="s">
        <v>1462</v>
      </c>
      <c r="D250" s="1" t="s">
        <v>2408</v>
      </c>
      <c r="E250" s="5">
        <v>1</v>
      </c>
      <c r="F250" s="4">
        <v>670.54</v>
      </c>
      <c r="G250" s="1" t="s">
        <v>2625</v>
      </c>
      <c r="H250" s="1" t="s">
        <v>3069</v>
      </c>
      <c r="I250" s="1" t="s">
        <v>3070</v>
      </c>
      <c r="J250" s="1" t="s">
        <v>3323</v>
      </c>
      <c r="K250" s="1">
        <v>6</v>
      </c>
      <c r="L250" s="1" t="s">
        <v>4276</v>
      </c>
      <c r="M250" s="1" t="s">
        <v>4279</v>
      </c>
      <c r="N250" s="1">
        <v>670.54</v>
      </c>
      <c r="O250" s="1">
        <f>(ordersTable[[#This Row],[Quantity]]*ordersTable[[#This Row],[UnitPrice]])-ordersTable[[#This Row],[TotalPrice]]</f>
        <v>0</v>
      </c>
    </row>
    <row r="251" spans="1:15" x14ac:dyDescent="0.3">
      <c r="A251" s="1" t="s">
        <v>263</v>
      </c>
      <c r="B251" s="2">
        <v>45329</v>
      </c>
      <c r="C251" s="3" t="s">
        <v>1463</v>
      </c>
      <c r="D251" s="1" t="s">
        <v>2407</v>
      </c>
      <c r="E251" s="5">
        <v>1</v>
      </c>
      <c r="F251" s="4">
        <v>546.19000000000005</v>
      </c>
      <c r="G251" s="1" t="s">
        <v>2626</v>
      </c>
      <c r="H251" s="1" t="s">
        <v>3069</v>
      </c>
      <c r="I251" s="1" t="s">
        <v>3074</v>
      </c>
      <c r="J251" s="1" t="s">
        <v>3324</v>
      </c>
      <c r="K251" s="1">
        <v>5</v>
      </c>
      <c r="L251" s="1" t="s">
        <v>4276</v>
      </c>
      <c r="M251" s="1" t="s">
        <v>4279</v>
      </c>
      <c r="N251" s="1">
        <v>546.19000000000005</v>
      </c>
      <c r="O251" s="1">
        <f>(ordersTable[[#This Row],[Quantity]]*ordersTable[[#This Row],[UnitPrice]])-ordersTable[[#This Row],[TotalPrice]]</f>
        <v>0</v>
      </c>
    </row>
    <row r="252" spans="1:15" x14ac:dyDescent="0.3">
      <c r="A252" s="1" t="s">
        <v>264</v>
      </c>
      <c r="B252" s="2">
        <v>45021</v>
      </c>
      <c r="C252" s="3" t="s">
        <v>1464</v>
      </c>
      <c r="D252" s="1" t="s">
        <v>2409</v>
      </c>
      <c r="E252" s="5">
        <v>3</v>
      </c>
      <c r="F252" s="4">
        <v>42.95</v>
      </c>
      <c r="G252" s="1" t="s">
        <v>2492</v>
      </c>
      <c r="H252" s="1" t="s">
        <v>3068</v>
      </c>
      <c r="I252" s="1" t="s">
        <v>3072</v>
      </c>
      <c r="J252" s="1" t="s">
        <v>3325</v>
      </c>
      <c r="K252" s="1">
        <v>8</v>
      </c>
      <c r="L252" s="1" t="s">
        <v>4275</v>
      </c>
      <c r="M252" s="1" t="s">
        <v>4280</v>
      </c>
      <c r="N252" s="1">
        <v>128.85</v>
      </c>
      <c r="O252" s="1">
        <f>(ordersTable[[#This Row],[Quantity]]*ordersTable[[#This Row],[UnitPrice]])-ordersTable[[#This Row],[TotalPrice]]</f>
        <v>0</v>
      </c>
    </row>
    <row r="253" spans="1:15" x14ac:dyDescent="0.3">
      <c r="A253" s="1" t="s">
        <v>265</v>
      </c>
      <c r="B253" s="2">
        <v>45792</v>
      </c>
      <c r="C253" s="3" t="s">
        <v>1465</v>
      </c>
      <c r="D253" s="1" t="s">
        <v>2403</v>
      </c>
      <c r="E253" s="5">
        <v>4</v>
      </c>
      <c r="F253" s="4">
        <v>14.69</v>
      </c>
      <c r="G253" s="1" t="s">
        <v>2627</v>
      </c>
      <c r="H253" s="1" t="s">
        <v>3069</v>
      </c>
      <c r="I253" s="1" t="s">
        <v>3071</v>
      </c>
      <c r="J253" s="1" t="s">
        <v>3326</v>
      </c>
      <c r="K253" s="1">
        <v>9</v>
      </c>
      <c r="M253" s="1" t="s">
        <v>4280</v>
      </c>
      <c r="N253" s="1">
        <v>58.76</v>
      </c>
      <c r="O253" s="1">
        <f>(ordersTable[[#This Row],[Quantity]]*ordersTable[[#This Row],[UnitPrice]])-ordersTable[[#This Row],[TotalPrice]]</f>
        <v>0</v>
      </c>
    </row>
    <row r="254" spans="1:15" x14ac:dyDescent="0.3">
      <c r="A254" s="1" t="s">
        <v>266</v>
      </c>
      <c r="B254" s="2">
        <v>45555</v>
      </c>
      <c r="C254" s="3" t="s">
        <v>1466</v>
      </c>
      <c r="D254" s="1" t="s">
        <v>2404</v>
      </c>
      <c r="E254" s="5">
        <v>4</v>
      </c>
      <c r="F254" s="4">
        <v>668.36</v>
      </c>
      <c r="G254" s="1" t="s">
        <v>2628</v>
      </c>
      <c r="H254" s="1" t="s">
        <v>3068</v>
      </c>
      <c r="I254" s="1" t="s">
        <v>3071</v>
      </c>
      <c r="J254" s="1" t="s">
        <v>3327</v>
      </c>
      <c r="K254" s="1">
        <v>5</v>
      </c>
      <c r="L254" s="1" t="s">
        <v>4276</v>
      </c>
      <c r="M254" s="1" t="s">
        <v>4281</v>
      </c>
      <c r="N254" s="1">
        <v>2673.44</v>
      </c>
      <c r="O254" s="1">
        <f>(ordersTable[[#This Row],[Quantity]]*ordersTable[[#This Row],[UnitPrice]])-ordersTable[[#This Row],[TotalPrice]]</f>
        <v>0</v>
      </c>
    </row>
    <row r="255" spans="1:15" x14ac:dyDescent="0.3">
      <c r="A255" s="1" t="s">
        <v>267</v>
      </c>
      <c r="B255" s="2">
        <v>45374</v>
      </c>
      <c r="C255" s="3" t="s">
        <v>1467</v>
      </c>
      <c r="D255" s="1" t="s">
        <v>2406</v>
      </c>
      <c r="E255" s="5">
        <v>4</v>
      </c>
      <c r="F255" s="4">
        <v>413.74</v>
      </c>
      <c r="G255" s="1" t="s">
        <v>2503</v>
      </c>
      <c r="H255" s="1" t="s">
        <v>3068</v>
      </c>
      <c r="I255" s="1" t="s">
        <v>3072</v>
      </c>
      <c r="J255" s="1" t="s">
        <v>3328</v>
      </c>
      <c r="K255" s="1">
        <v>7</v>
      </c>
      <c r="L255" s="1" t="s">
        <v>4276</v>
      </c>
      <c r="M255" s="1" t="s">
        <v>4278</v>
      </c>
      <c r="N255" s="1">
        <v>1654.96</v>
      </c>
      <c r="O255" s="1">
        <f>(ordersTable[[#This Row],[Quantity]]*ordersTable[[#This Row],[UnitPrice]])-ordersTable[[#This Row],[TotalPrice]]</f>
        <v>0</v>
      </c>
    </row>
    <row r="256" spans="1:15" x14ac:dyDescent="0.3">
      <c r="A256" s="1" t="s">
        <v>268</v>
      </c>
      <c r="B256" s="2">
        <v>45286</v>
      </c>
      <c r="C256" s="3" t="s">
        <v>1468</v>
      </c>
      <c r="D256" s="1" t="s">
        <v>2403</v>
      </c>
      <c r="E256" s="5">
        <v>3</v>
      </c>
      <c r="F256" s="4">
        <v>263.19</v>
      </c>
      <c r="G256" s="1" t="s">
        <v>2615</v>
      </c>
      <c r="H256" s="1" t="s">
        <v>3066</v>
      </c>
      <c r="I256" s="1" t="s">
        <v>3073</v>
      </c>
      <c r="J256" s="1" t="s">
        <v>3329</v>
      </c>
      <c r="K256" s="1">
        <v>5</v>
      </c>
      <c r="M256" s="1" t="s">
        <v>4278</v>
      </c>
      <c r="N256" s="1">
        <v>789.56999999999994</v>
      </c>
      <c r="O256" s="1">
        <f>(ordersTable[[#This Row],[Quantity]]*ordersTable[[#This Row],[UnitPrice]])-ordersTable[[#This Row],[TotalPrice]]</f>
        <v>0</v>
      </c>
    </row>
    <row r="257" spans="1:15" x14ac:dyDescent="0.3">
      <c r="A257" s="1" t="s">
        <v>269</v>
      </c>
      <c r="B257" s="2">
        <v>45425</v>
      </c>
      <c r="C257" s="3" t="s">
        <v>1469</v>
      </c>
      <c r="D257" s="1" t="s">
        <v>2403</v>
      </c>
      <c r="E257" s="5">
        <v>1</v>
      </c>
      <c r="F257" s="4">
        <v>263.95999999999998</v>
      </c>
      <c r="G257" s="1" t="s">
        <v>2565</v>
      </c>
      <c r="H257" s="1" t="s">
        <v>3068</v>
      </c>
      <c r="I257" s="1" t="s">
        <v>3072</v>
      </c>
      <c r="J257" s="1" t="s">
        <v>3330</v>
      </c>
      <c r="K257" s="1">
        <v>2</v>
      </c>
      <c r="L257" s="1" t="s">
        <v>4275</v>
      </c>
      <c r="M257" s="1" t="s">
        <v>4282</v>
      </c>
      <c r="N257" s="1">
        <v>263.95999999999998</v>
      </c>
      <c r="O257" s="1">
        <f>(ordersTable[[#This Row],[Quantity]]*ordersTable[[#This Row],[UnitPrice]])-ordersTable[[#This Row],[TotalPrice]]</f>
        <v>0</v>
      </c>
    </row>
    <row r="258" spans="1:15" x14ac:dyDescent="0.3">
      <c r="A258" s="1" t="s">
        <v>270</v>
      </c>
      <c r="B258" s="2">
        <v>45838</v>
      </c>
      <c r="C258" s="3" t="s">
        <v>1470</v>
      </c>
      <c r="D258" s="1" t="s">
        <v>2406</v>
      </c>
      <c r="E258" s="5">
        <v>5</v>
      </c>
      <c r="F258" s="4">
        <v>75.81</v>
      </c>
      <c r="G258" s="1" t="s">
        <v>2629</v>
      </c>
      <c r="H258" s="1" t="s">
        <v>3068</v>
      </c>
      <c r="I258" s="1" t="s">
        <v>3072</v>
      </c>
      <c r="J258" s="1" t="s">
        <v>3331</v>
      </c>
      <c r="K258" s="1">
        <v>10</v>
      </c>
      <c r="L258" s="1" t="s">
        <v>4277</v>
      </c>
      <c r="M258" s="1" t="s">
        <v>4278</v>
      </c>
      <c r="N258" s="1">
        <v>379.05</v>
      </c>
      <c r="O258" s="1">
        <f>(ordersTable[[#This Row],[Quantity]]*ordersTable[[#This Row],[UnitPrice]])-ordersTable[[#This Row],[TotalPrice]]</f>
        <v>0</v>
      </c>
    </row>
    <row r="259" spans="1:15" x14ac:dyDescent="0.3">
      <c r="A259" s="1" t="s">
        <v>271</v>
      </c>
      <c r="B259" s="2">
        <v>45405</v>
      </c>
      <c r="C259" s="3" t="s">
        <v>1471</v>
      </c>
      <c r="D259" s="1" t="s">
        <v>2404</v>
      </c>
      <c r="E259" s="5">
        <v>1</v>
      </c>
      <c r="F259" s="4">
        <v>406.22</v>
      </c>
      <c r="G259" s="1" t="s">
        <v>2630</v>
      </c>
      <c r="H259" s="1" t="s">
        <v>3067</v>
      </c>
      <c r="I259" s="1" t="s">
        <v>3071</v>
      </c>
      <c r="J259" s="1" t="s">
        <v>3332</v>
      </c>
      <c r="K259" s="1">
        <v>5</v>
      </c>
      <c r="L259" s="1" t="s">
        <v>4275</v>
      </c>
      <c r="M259" s="1" t="s">
        <v>4279</v>
      </c>
      <c r="N259" s="1">
        <v>406.22</v>
      </c>
      <c r="O259" s="1">
        <f>(ordersTable[[#This Row],[Quantity]]*ordersTable[[#This Row],[UnitPrice]])-ordersTable[[#This Row],[TotalPrice]]</f>
        <v>0</v>
      </c>
    </row>
    <row r="260" spans="1:15" x14ac:dyDescent="0.3">
      <c r="A260" s="1" t="s">
        <v>272</v>
      </c>
      <c r="B260" s="2">
        <v>45348</v>
      </c>
      <c r="C260" s="3" t="s">
        <v>1472</v>
      </c>
      <c r="D260" s="1" t="s">
        <v>2405</v>
      </c>
      <c r="E260" s="5">
        <v>2</v>
      </c>
      <c r="F260" s="4">
        <v>103.41</v>
      </c>
      <c r="G260" s="1" t="s">
        <v>2631</v>
      </c>
      <c r="H260" s="1" t="s">
        <v>3066</v>
      </c>
      <c r="I260" s="1" t="s">
        <v>3070</v>
      </c>
      <c r="J260" s="1" t="s">
        <v>3333</v>
      </c>
      <c r="K260" s="1">
        <v>2</v>
      </c>
      <c r="L260" s="1" t="s">
        <v>4276</v>
      </c>
      <c r="M260" s="1" t="s">
        <v>4279</v>
      </c>
      <c r="N260" s="1">
        <v>206.82</v>
      </c>
      <c r="O260" s="1">
        <f>(ordersTable[[#This Row],[Quantity]]*ordersTable[[#This Row],[UnitPrice]])-ordersTable[[#This Row],[TotalPrice]]</f>
        <v>0</v>
      </c>
    </row>
    <row r="261" spans="1:15" x14ac:dyDescent="0.3">
      <c r="A261" s="1" t="s">
        <v>273</v>
      </c>
      <c r="B261" s="2">
        <v>45088</v>
      </c>
      <c r="C261" s="3" t="s">
        <v>1473</v>
      </c>
      <c r="D261" s="1" t="s">
        <v>2406</v>
      </c>
      <c r="E261" s="5">
        <v>4</v>
      </c>
      <c r="F261" s="4">
        <v>435.12</v>
      </c>
      <c r="G261" s="1" t="s">
        <v>2535</v>
      </c>
      <c r="H261" s="1" t="s">
        <v>3067</v>
      </c>
      <c r="I261" s="1" t="s">
        <v>3073</v>
      </c>
      <c r="J261" s="1" t="s">
        <v>3334</v>
      </c>
      <c r="K261" s="1">
        <v>9</v>
      </c>
      <c r="L261" s="1" t="s">
        <v>4275</v>
      </c>
      <c r="M261" s="1" t="s">
        <v>4278</v>
      </c>
      <c r="N261" s="1">
        <v>1740.48</v>
      </c>
      <c r="O261" s="1">
        <f>(ordersTable[[#This Row],[Quantity]]*ordersTable[[#This Row],[UnitPrice]])-ordersTable[[#This Row],[TotalPrice]]</f>
        <v>0</v>
      </c>
    </row>
    <row r="262" spans="1:15" x14ac:dyDescent="0.3">
      <c r="A262" s="1" t="s">
        <v>274</v>
      </c>
      <c r="B262" s="2">
        <v>45063</v>
      </c>
      <c r="C262" s="3" t="s">
        <v>1474</v>
      </c>
      <c r="D262" s="1" t="s">
        <v>2403</v>
      </c>
      <c r="E262" s="5">
        <v>2</v>
      </c>
      <c r="F262" s="4">
        <v>407.79</v>
      </c>
      <c r="G262" s="1" t="s">
        <v>2632</v>
      </c>
      <c r="H262" s="1" t="s">
        <v>3065</v>
      </c>
      <c r="I262" s="1" t="s">
        <v>3070</v>
      </c>
      <c r="J262" s="1" t="s">
        <v>3335</v>
      </c>
      <c r="K262" s="1">
        <v>3</v>
      </c>
      <c r="M262" s="1" t="s">
        <v>4282</v>
      </c>
      <c r="N262" s="1">
        <v>815.58</v>
      </c>
      <c r="O262" s="1">
        <f>(ordersTable[[#This Row],[Quantity]]*ordersTable[[#This Row],[UnitPrice]])-ordersTable[[#This Row],[TotalPrice]]</f>
        <v>0</v>
      </c>
    </row>
    <row r="263" spans="1:15" x14ac:dyDescent="0.3">
      <c r="A263" s="1" t="s">
        <v>275</v>
      </c>
      <c r="B263" s="2">
        <v>45805</v>
      </c>
      <c r="C263" s="3" t="s">
        <v>1475</v>
      </c>
      <c r="D263" s="1" t="s">
        <v>2404</v>
      </c>
      <c r="E263" s="5">
        <v>5</v>
      </c>
      <c r="F263" s="4">
        <v>173.65</v>
      </c>
      <c r="G263" s="1" t="s">
        <v>2633</v>
      </c>
      <c r="H263" s="1" t="s">
        <v>3068</v>
      </c>
      <c r="I263" s="1" t="s">
        <v>3073</v>
      </c>
      <c r="J263" s="1" t="s">
        <v>3336</v>
      </c>
      <c r="K263" s="1">
        <v>9</v>
      </c>
      <c r="L263" s="1" t="s">
        <v>4275</v>
      </c>
      <c r="M263" s="1" t="s">
        <v>4280</v>
      </c>
      <c r="N263" s="1">
        <v>868.25</v>
      </c>
      <c r="O263" s="1">
        <f>(ordersTable[[#This Row],[Quantity]]*ordersTable[[#This Row],[UnitPrice]])-ordersTable[[#This Row],[TotalPrice]]</f>
        <v>0</v>
      </c>
    </row>
    <row r="264" spans="1:15" x14ac:dyDescent="0.3">
      <c r="A264" s="1" t="s">
        <v>276</v>
      </c>
      <c r="B264" s="2">
        <v>44936</v>
      </c>
      <c r="C264" s="3" t="s">
        <v>1476</v>
      </c>
      <c r="D264" s="1" t="s">
        <v>2404</v>
      </c>
      <c r="E264" s="5">
        <v>4</v>
      </c>
      <c r="F264" s="4">
        <v>249.07</v>
      </c>
      <c r="G264" s="1" t="s">
        <v>2536</v>
      </c>
      <c r="H264" s="1" t="s">
        <v>3067</v>
      </c>
      <c r="I264" s="1" t="s">
        <v>3072</v>
      </c>
      <c r="J264" s="1" t="s">
        <v>3337</v>
      </c>
      <c r="K264" s="1">
        <v>5</v>
      </c>
      <c r="L264" s="1" t="s">
        <v>4277</v>
      </c>
      <c r="M264" s="1" t="s">
        <v>4279</v>
      </c>
      <c r="N264" s="1">
        <v>996.28</v>
      </c>
      <c r="O264" s="1">
        <f>(ordersTable[[#This Row],[Quantity]]*ordersTable[[#This Row],[UnitPrice]])-ordersTable[[#This Row],[TotalPrice]]</f>
        <v>0</v>
      </c>
    </row>
    <row r="265" spans="1:15" x14ac:dyDescent="0.3">
      <c r="A265" s="1" t="s">
        <v>277</v>
      </c>
      <c r="B265" s="2">
        <v>45010</v>
      </c>
      <c r="C265" s="3" t="s">
        <v>1477</v>
      </c>
      <c r="D265" s="1" t="s">
        <v>2404</v>
      </c>
      <c r="E265" s="5">
        <v>4</v>
      </c>
      <c r="F265" s="4">
        <v>434.85</v>
      </c>
      <c r="G265" s="1" t="s">
        <v>2634</v>
      </c>
      <c r="H265" s="1" t="s">
        <v>3067</v>
      </c>
      <c r="I265" s="1" t="s">
        <v>3074</v>
      </c>
      <c r="J265" s="1" t="s">
        <v>3338</v>
      </c>
      <c r="K265" s="1">
        <v>4</v>
      </c>
      <c r="L265" s="1" t="s">
        <v>4277</v>
      </c>
      <c r="M265" s="1" t="s">
        <v>4282</v>
      </c>
      <c r="N265" s="1">
        <v>1739.4</v>
      </c>
      <c r="O265" s="1">
        <f>(ordersTable[[#This Row],[Quantity]]*ordersTable[[#This Row],[UnitPrice]])-ordersTable[[#This Row],[TotalPrice]]</f>
        <v>0</v>
      </c>
    </row>
    <row r="266" spans="1:15" x14ac:dyDescent="0.3">
      <c r="A266" s="1" t="s">
        <v>278</v>
      </c>
      <c r="B266" s="2">
        <v>45507</v>
      </c>
      <c r="C266" s="3" t="s">
        <v>1478</v>
      </c>
      <c r="D266" s="1" t="s">
        <v>2405</v>
      </c>
      <c r="E266" s="5">
        <v>1</v>
      </c>
      <c r="F266" s="4">
        <v>436.77</v>
      </c>
      <c r="G266" s="1" t="s">
        <v>2635</v>
      </c>
      <c r="H266" s="1" t="s">
        <v>3069</v>
      </c>
      <c r="I266" s="1" t="s">
        <v>3072</v>
      </c>
      <c r="J266" s="1" t="s">
        <v>3339</v>
      </c>
      <c r="K266" s="1">
        <v>5</v>
      </c>
      <c r="L266" s="1" t="s">
        <v>4276</v>
      </c>
      <c r="M266" s="1" t="s">
        <v>4282</v>
      </c>
      <c r="N266" s="1">
        <v>436.77</v>
      </c>
      <c r="O266" s="1">
        <f>(ordersTable[[#This Row],[Quantity]]*ordersTable[[#This Row],[UnitPrice]])-ordersTable[[#This Row],[TotalPrice]]</f>
        <v>0</v>
      </c>
    </row>
    <row r="267" spans="1:15" x14ac:dyDescent="0.3">
      <c r="A267" s="1" t="s">
        <v>279</v>
      </c>
      <c r="B267" s="2">
        <v>45282</v>
      </c>
      <c r="C267" s="3" t="s">
        <v>1479</v>
      </c>
      <c r="D267" s="1" t="s">
        <v>2407</v>
      </c>
      <c r="E267" s="5">
        <v>1</v>
      </c>
      <c r="F267" s="4">
        <v>572.13</v>
      </c>
      <c r="G267" s="1" t="s">
        <v>2636</v>
      </c>
      <c r="H267" s="1" t="s">
        <v>3065</v>
      </c>
      <c r="I267" s="1" t="s">
        <v>3071</v>
      </c>
      <c r="J267" s="1" t="s">
        <v>3340</v>
      </c>
      <c r="K267" s="1">
        <v>4</v>
      </c>
      <c r="L267" s="1" t="s">
        <v>4275</v>
      </c>
      <c r="M267" s="1" t="s">
        <v>4282</v>
      </c>
      <c r="N267" s="1">
        <v>572.13</v>
      </c>
      <c r="O267" s="1">
        <f>(ordersTable[[#This Row],[Quantity]]*ordersTable[[#This Row],[UnitPrice]])-ordersTable[[#This Row],[TotalPrice]]</f>
        <v>0</v>
      </c>
    </row>
    <row r="268" spans="1:15" x14ac:dyDescent="0.3">
      <c r="A268" s="1" t="s">
        <v>280</v>
      </c>
      <c r="B268" s="2">
        <v>45451</v>
      </c>
      <c r="C268" s="3" t="s">
        <v>1480</v>
      </c>
      <c r="D268" s="1" t="s">
        <v>2406</v>
      </c>
      <c r="E268" s="5">
        <v>4</v>
      </c>
      <c r="F268" s="4">
        <v>583.07000000000005</v>
      </c>
      <c r="G268" s="1" t="s">
        <v>2637</v>
      </c>
      <c r="H268" s="1" t="s">
        <v>3067</v>
      </c>
      <c r="I268" s="1" t="s">
        <v>3071</v>
      </c>
      <c r="J268" s="1" t="s">
        <v>3341</v>
      </c>
      <c r="K268" s="1">
        <v>6</v>
      </c>
      <c r="L268" s="1" t="s">
        <v>4276</v>
      </c>
      <c r="M268" s="1" t="s">
        <v>4279</v>
      </c>
      <c r="N268" s="1">
        <v>2332.2800000000002</v>
      </c>
      <c r="O268" s="1">
        <f>(ordersTable[[#This Row],[Quantity]]*ordersTable[[#This Row],[UnitPrice]])-ordersTable[[#This Row],[TotalPrice]]</f>
        <v>0</v>
      </c>
    </row>
    <row r="269" spans="1:15" x14ac:dyDescent="0.3">
      <c r="A269" s="1" t="s">
        <v>281</v>
      </c>
      <c r="B269" s="2">
        <v>45764</v>
      </c>
      <c r="C269" s="3" t="s">
        <v>1481</v>
      </c>
      <c r="D269" s="1" t="s">
        <v>2406</v>
      </c>
      <c r="E269" s="5">
        <v>5</v>
      </c>
      <c r="F269" s="4">
        <v>468.51</v>
      </c>
      <c r="G269" s="1" t="s">
        <v>2638</v>
      </c>
      <c r="H269" s="1" t="s">
        <v>3065</v>
      </c>
      <c r="I269" s="1" t="s">
        <v>3073</v>
      </c>
      <c r="J269" s="1" t="s">
        <v>3342</v>
      </c>
      <c r="K269" s="1">
        <v>9</v>
      </c>
      <c r="M269" s="1" t="s">
        <v>4281</v>
      </c>
      <c r="N269" s="1">
        <v>2342.5500000000002</v>
      </c>
      <c r="O269" s="1">
        <f>(ordersTable[[#This Row],[Quantity]]*ordersTable[[#This Row],[UnitPrice]])-ordersTable[[#This Row],[TotalPrice]]</f>
        <v>0</v>
      </c>
    </row>
    <row r="270" spans="1:15" x14ac:dyDescent="0.3">
      <c r="A270" s="1" t="s">
        <v>282</v>
      </c>
      <c r="B270" s="2">
        <v>45149</v>
      </c>
      <c r="C270" s="3" t="s">
        <v>1482</v>
      </c>
      <c r="D270" s="1" t="s">
        <v>2404</v>
      </c>
      <c r="E270" s="5">
        <v>2</v>
      </c>
      <c r="F270" s="4">
        <v>423.88</v>
      </c>
      <c r="G270" s="1" t="s">
        <v>2639</v>
      </c>
      <c r="H270" s="1" t="s">
        <v>3065</v>
      </c>
      <c r="I270" s="1" t="s">
        <v>3073</v>
      </c>
      <c r="J270" s="1" t="s">
        <v>3343</v>
      </c>
      <c r="K270" s="1">
        <v>7</v>
      </c>
      <c r="L270" s="1" t="s">
        <v>4275</v>
      </c>
      <c r="M270" s="1" t="s">
        <v>4279</v>
      </c>
      <c r="N270" s="1">
        <v>847.76</v>
      </c>
      <c r="O270" s="1">
        <f>(ordersTable[[#This Row],[Quantity]]*ordersTable[[#This Row],[UnitPrice]])-ordersTable[[#This Row],[TotalPrice]]</f>
        <v>0</v>
      </c>
    </row>
    <row r="271" spans="1:15" x14ac:dyDescent="0.3">
      <c r="A271" s="1" t="s">
        <v>283</v>
      </c>
      <c r="B271" s="2">
        <v>45255</v>
      </c>
      <c r="C271" s="3" t="s">
        <v>1483</v>
      </c>
      <c r="D271" s="1" t="s">
        <v>2405</v>
      </c>
      <c r="E271" s="5">
        <v>4</v>
      </c>
      <c r="F271" s="4">
        <v>663.67</v>
      </c>
      <c r="G271" s="1" t="s">
        <v>2477</v>
      </c>
      <c r="H271" s="1" t="s">
        <v>3067</v>
      </c>
      <c r="I271" s="1" t="s">
        <v>3074</v>
      </c>
      <c r="J271" s="1" t="s">
        <v>3344</v>
      </c>
      <c r="K271" s="1">
        <v>7</v>
      </c>
      <c r="L271" s="1" t="s">
        <v>4276</v>
      </c>
      <c r="M271" s="1" t="s">
        <v>4282</v>
      </c>
      <c r="N271" s="1">
        <v>2654.68</v>
      </c>
      <c r="O271" s="1">
        <f>(ordersTable[[#This Row],[Quantity]]*ordersTable[[#This Row],[UnitPrice]])-ordersTable[[#This Row],[TotalPrice]]</f>
        <v>0</v>
      </c>
    </row>
    <row r="272" spans="1:15" x14ac:dyDescent="0.3">
      <c r="A272" s="1" t="s">
        <v>284</v>
      </c>
      <c r="B272" s="2">
        <v>45081</v>
      </c>
      <c r="C272" s="3" t="s">
        <v>1484</v>
      </c>
      <c r="D272" s="1" t="s">
        <v>2407</v>
      </c>
      <c r="E272" s="5">
        <v>4</v>
      </c>
      <c r="F272" s="4">
        <v>309.91000000000003</v>
      </c>
      <c r="G272" s="1" t="s">
        <v>2640</v>
      </c>
      <c r="H272" s="1" t="s">
        <v>3065</v>
      </c>
      <c r="I272" s="1" t="s">
        <v>3070</v>
      </c>
      <c r="J272" s="1" t="s">
        <v>3345</v>
      </c>
      <c r="K272" s="1">
        <v>5</v>
      </c>
      <c r="L272" s="1" t="s">
        <v>4277</v>
      </c>
      <c r="M272" s="1" t="s">
        <v>4282</v>
      </c>
      <c r="N272" s="1">
        <v>1239.6400000000001</v>
      </c>
      <c r="O272" s="1">
        <f>(ordersTable[[#This Row],[Quantity]]*ordersTable[[#This Row],[UnitPrice]])-ordersTable[[#This Row],[TotalPrice]]</f>
        <v>0</v>
      </c>
    </row>
    <row r="273" spans="1:15" x14ac:dyDescent="0.3">
      <c r="A273" s="1" t="s">
        <v>285</v>
      </c>
      <c r="B273" s="2">
        <v>45013</v>
      </c>
      <c r="C273" s="3" t="s">
        <v>1485</v>
      </c>
      <c r="D273" s="1" t="s">
        <v>2403</v>
      </c>
      <c r="E273" s="5">
        <v>1</v>
      </c>
      <c r="F273" s="4">
        <v>542.07000000000005</v>
      </c>
      <c r="G273" s="1" t="s">
        <v>2641</v>
      </c>
      <c r="H273" s="1" t="s">
        <v>3069</v>
      </c>
      <c r="I273" s="1" t="s">
        <v>3070</v>
      </c>
      <c r="J273" s="1" t="s">
        <v>3346</v>
      </c>
      <c r="K273" s="1">
        <v>6</v>
      </c>
      <c r="L273" s="1" t="s">
        <v>4277</v>
      </c>
      <c r="M273" s="1" t="s">
        <v>4279</v>
      </c>
      <c r="N273" s="1">
        <v>542.07000000000005</v>
      </c>
      <c r="O273" s="1">
        <f>(ordersTable[[#This Row],[Quantity]]*ordersTable[[#This Row],[UnitPrice]])-ordersTable[[#This Row],[TotalPrice]]</f>
        <v>0</v>
      </c>
    </row>
    <row r="274" spans="1:15" x14ac:dyDescent="0.3">
      <c r="A274" s="1" t="s">
        <v>286</v>
      </c>
      <c r="B274" s="2">
        <v>45188</v>
      </c>
      <c r="C274" s="3" t="s">
        <v>1486</v>
      </c>
      <c r="D274" s="1" t="s">
        <v>2406</v>
      </c>
      <c r="E274" s="5">
        <v>2</v>
      </c>
      <c r="F274" s="4">
        <v>399.32</v>
      </c>
      <c r="G274" s="1" t="s">
        <v>2642</v>
      </c>
      <c r="H274" s="1" t="s">
        <v>3066</v>
      </c>
      <c r="I274" s="1" t="s">
        <v>3074</v>
      </c>
      <c r="J274" s="1" t="s">
        <v>3347</v>
      </c>
      <c r="K274" s="1">
        <v>6</v>
      </c>
      <c r="L274" s="1" t="s">
        <v>4277</v>
      </c>
      <c r="M274" s="1" t="s">
        <v>4278</v>
      </c>
      <c r="N274" s="1">
        <v>798.64</v>
      </c>
      <c r="O274" s="1">
        <f>(ordersTable[[#This Row],[Quantity]]*ordersTable[[#This Row],[UnitPrice]])-ordersTable[[#This Row],[TotalPrice]]</f>
        <v>0</v>
      </c>
    </row>
    <row r="275" spans="1:15" x14ac:dyDescent="0.3">
      <c r="A275" s="1" t="s">
        <v>287</v>
      </c>
      <c r="B275" s="2">
        <v>45592</v>
      </c>
      <c r="C275" s="3" t="s">
        <v>1487</v>
      </c>
      <c r="D275" s="1" t="s">
        <v>2405</v>
      </c>
      <c r="E275" s="5">
        <v>2</v>
      </c>
      <c r="F275" s="4">
        <v>238.25</v>
      </c>
      <c r="G275" s="1" t="s">
        <v>2643</v>
      </c>
      <c r="H275" s="1" t="s">
        <v>3066</v>
      </c>
      <c r="I275" s="1" t="s">
        <v>3071</v>
      </c>
      <c r="J275" s="1" t="s">
        <v>3348</v>
      </c>
      <c r="K275" s="1">
        <v>7</v>
      </c>
      <c r="L275" s="1" t="s">
        <v>4276</v>
      </c>
      <c r="M275" s="1" t="s">
        <v>4280</v>
      </c>
      <c r="N275" s="1">
        <v>476.5</v>
      </c>
      <c r="O275" s="1">
        <f>(ordersTable[[#This Row],[Quantity]]*ordersTable[[#This Row],[UnitPrice]])-ordersTable[[#This Row],[TotalPrice]]</f>
        <v>0</v>
      </c>
    </row>
    <row r="276" spans="1:15" x14ac:dyDescent="0.3">
      <c r="A276" s="1" t="s">
        <v>288</v>
      </c>
      <c r="B276" s="2">
        <v>44961</v>
      </c>
      <c r="C276" s="3" t="s">
        <v>1488</v>
      </c>
      <c r="D276" s="1" t="s">
        <v>2404</v>
      </c>
      <c r="E276" s="5">
        <v>2</v>
      </c>
      <c r="F276" s="4">
        <v>182.4</v>
      </c>
      <c r="G276" s="1" t="s">
        <v>2644</v>
      </c>
      <c r="H276" s="1" t="s">
        <v>3068</v>
      </c>
      <c r="I276" s="1" t="s">
        <v>3071</v>
      </c>
      <c r="J276" s="1" t="s">
        <v>3349</v>
      </c>
      <c r="K276" s="1">
        <v>5</v>
      </c>
      <c r="L276" s="1" t="s">
        <v>4275</v>
      </c>
      <c r="M276" s="1" t="s">
        <v>4279</v>
      </c>
      <c r="N276" s="1">
        <v>364.8</v>
      </c>
      <c r="O276" s="1">
        <f>(ordersTable[[#This Row],[Quantity]]*ordersTable[[#This Row],[UnitPrice]])-ordersTable[[#This Row],[TotalPrice]]</f>
        <v>0</v>
      </c>
    </row>
    <row r="277" spans="1:15" x14ac:dyDescent="0.3">
      <c r="A277" s="1" t="s">
        <v>289</v>
      </c>
      <c r="B277" s="2">
        <v>45234</v>
      </c>
      <c r="C277" s="3" t="s">
        <v>1489</v>
      </c>
      <c r="D277" s="1" t="s">
        <v>2406</v>
      </c>
      <c r="E277" s="5">
        <v>2</v>
      </c>
      <c r="F277" s="4">
        <v>65.069999999999993</v>
      </c>
      <c r="G277" s="1" t="s">
        <v>2645</v>
      </c>
      <c r="H277" s="1" t="s">
        <v>3067</v>
      </c>
      <c r="I277" s="1" t="s">
        <v>3071</v>
      </c>
      <c r="J277" s="1" t="s">
        <v>3350</v>
      </c>
      <c r="K277" s="1">
        <v>4</v>
      </c>
      <c r="L277" s="1" t="s">
        <v>4275</v>
      </c>
      <c r="M277" s="1" t="s">
        <v>4282</v>
      </c>
      <c r="N277" s="1">
        <v>130.13999999999999</v>
      </c>
      <c r="O277" s="1">
        <f>(ordersTable[[#This Row],[Quantity]]*ordersTable[[#This Row],[UnitPrice]])-ordersTable[[#This Row],[TotalPrice]]</f>
        <v>0</v>
      </c>
    </row>
    <row r="278" spans="1:15" x14ac:dyDescent="0.3">
      <c r="A278" s="1" t="s">
        <v>290</v>
      </c>
      <c r="B278" s="2">
        <v>45745</v>
      </c>
      <c r="C278" s="3" t="s">
        <v>1490</v>
      </c>
      <c r="D278" s="1" t="s">
        <v>2407</v>
      </c>
      <c r="E278" s="5">
        <v>2</v>
      </c>
      <c r="F278" s="4">
        <v>600.57000000000005</v>
      </c>
      <c r="G278" s="1" t="s">
        <v>2646</v>
      </c>
      <c r="H278" s="1" t="s">
        <v>3065</v>
      </c>
      <c r="I278" s="1" t="s">
        <v>3072</v>
      </c>
      <c r="J278" s="1" t="s">
        <v>3351</v>
      </c>
      <c r="K278" s="1">
        <v>3</v>
      </c>
      <c r="L278" s="1" t="s">
        <v>4277</v>
      </c>
      <c r="M278" s="1" t="s">
        <v>4278</v>
      </c>
      <c r="N278" s="1">
        <v>1201.1400000000001</v>
      </c>
      <c r="O278" s="1">
        <f>(ordersTable[[#This Row],[Quantity]]*ordersTable[[#This Row],[UnitPrice]])-ordersTable[[#This Row],[TotalPrice]]</f>
        <v>0</v>
      </c>
    </row>
    <row r="279" spans="1:15" x14ac:dyDescent="0.3">
      <c r="A279" s="1" t="s">
        <v>291</v>
      </c>
      <c r="B279" s="2">
        <v>45544</v>
      </c>
      <c r="C279" s="3" t="s">
        <v>1491</v>
      </c>
      <c r="D279" s="1" t="s">
        <v>2406</v>
      </c>
      <c r="E279" s="5">
        <v>5</v>
      </c>
      <c r="F279" s="4">
        <v>90.92</v>
      </c>
      <c r="G279" s="1" t="s">
        <v>2647</v>
      </c>
      <c r="H279" s="1" t="s">
        <v>3067</v>
      </c>
      <c r="I279" s="1" t="s">
        <v>3073</v>
      </c>
      <c r="J279" s="1" t="s">
        <v>3352</v>
      </c>
      <c r="K279" s="1">
        <v>9</v>
      </c>
      <c r="L279" s="1" t="s">
        <v>4275</v>
      </c>
      <c r="M279" s="1" t="s">
        <v>4281</v>
      </c>
      <c r="N279" s="1">
        <v>454.6</v>
      </c>
      <c r="O279" s="1">
        <f>(ordersTable[[#This Row],[Quantity]]*ordersTable[[#This Row],[UnitPrice]])-ordersTable[[#This Row],[TotalPrice]]</f>
        <v>0</v>
      </c>
    </row>
    <row r="280" spans="1:15" x14ac:dyDescent="0.3">
      <c r="A280" s="1" t="s">
        <v>292</v>
      </c>
      <c r="B280" s="2">
        <v>45614</v>
      </c>
      <c r="C280" s="3" t="s">
        <v>1492</v>
      </c>
      <c r="D280" s="1" t="s">
        <v>2408</v>
      </c>
      <c r="E280" s="5">
        <v>5</v>
      </c>
      <c r="F280" s="4">
        <v>362.46</v>
      </c>
      <c r="G280" s="1" t="s">
        <v>2648</v>
      </c>
      <c r="H280" s="1" t="s">
        <v>3069</v>
      </c>
      <c r="I280" s="1" t="s">
        <v>3073</v>
      </c>
      <c r="J280" s="1" t="s">
        <v>3353</v>
      </c>
      <c r="K280" s="1">
        <v>6</v>
      </c>
      <c r="L280" s="1" t="s">
        <v>4276</v>
      </c>
      <c r="M280" s="1" t="s">
        <v>4278</v>
      </c>
      <c r="N280" s="1">
        <v>1812.3</v>
      </c>
      <c r="O280" s="1">
        <f>(ordersTable[[#This Row],[Quantity]]*ordersTable[[#This Row],[UnitPrice]])-ordersTable[[#This Row],[TotalPrice]]</f>
        <v>0</v>
      </c>
    </row>
    <row r="281" spans="1:15" x14ac:dyDescent="0.3">
      <c r="A281" s="1" t="s">
        <v>293</v>
      </c>
      <c r="B281" s="2">
        <v>45219</v>
      </c>
      <c r="C281" s="3" t="s">
        <v>1493</v>
      </c>
      <c r="D281" s="1" t="s">
        <v>2406</v>
      </c>
      <c r="E281" s="5">
        <v>3</v>
      </c>
      <c r="F281" s="4">
        <v>55.01</v>
      </c>
      <c r="G281" s="1" t="s">
        <v>2649</v>
      </c>
      <c r="H281" s="1" t="s">
        <v>3066</v>
      </c>
      <c r="I281" s="1" t="s">
        <v>3074</v>
      </c>
      <c r="J281" s="1" t="s">
        <v>3354</v>
      </c>
      <c r="K281" s="1">
        <v>7</v>
      </c>
      <c r="L281" s="1" t="s">
        <v>4277</v>
      </c>
      <c r="M281" s="1" t="s">
        <v>4280</v>
      </c>
      <c r="N281" s="1">
        <v>165.03</v>
      </c>
      <c r="O281" s="1">
        <f>(ordersTable[[#This Row],[Quantity]]*ordersTable[[#This Row],[UnitPrice]])-ordersTable[[#This Row],[TotalPrice]]</f>
        <v>0</v>
      </c>
    </row>
    <row r="282" spans="1:15" x14ac:dyDescent="0.3">
      <c r="A282" s="1" t="s">
        <v>294</v>
      </c>
      <c r="B282" s="2">
        <v>45012</v>
      </c>
      <c r="C282" s="3" t="s">
        <v>1494</v>
      </c>
      <c r="D282" s="1" t="s">
        <v>2405</v>
      </c>
      <c r="E282" s="5">
        <v>3</v>
      </c>
      <c r="F282" s="4">
        <v>404.62</v>
      </c>
      <c r="G282" s="1" t="s">
        <v>2650</v>
      </c>
      <c r="H282" s="1" t="s">
        <v>3068</v>
      </c>
      <c r="I282" s="1" t="s">
        <v>3073</v>
      </c>
      <c r="J282" s="1" t="s">
        <v>3355</v>
      </c>
      <c r="K282" s="1">
        <v>6</v>
      </c>
      <c r="L282" s="1" t="s">
        <v>4276</v>
      </c>
      <c r="M282" s="1" t="s">
        <v>4278</v>
      </c>
      <c r="N282" s="1">
        <v>1213.8599999999999</v>
      </c>
      <c r="O282" s="1">
        <f>(ordersTable[[#This Row],[Quantity]]*ordersTable[[#This Row],[UnitPrice]])-ordersTable[[#This Row],[TotalPrice]]</f>
        <v>0</v>
      </c>
    </row>
    <row r="283" spans="1:15" x14ac:dyDescent="0.3">
      <c r="A283" s="1" t="s">
        <v>295</v>
      </c>
      <c r="B283" s="2">
        <v>45134</v>
      </c>
      <c r="C283" s="3" t="s">
        <v>1495</v>
      </c>
      <c r="D283" s="1" t="s">
        <v>2409</v>
      </c>
      <c r="E283" s="5">
        <v>4</v>
      </c>
      <c r="F283" s="4">
        <v>654.79</v>
      </c>
      <c r="G283" s="1" t="s">
        <v>2651</v>
      </c>
      <c r="H283" s="1" t="s">
        <v>3069</v>
      </c>
      <c r="I283" s="1" t="s">
        <v>3074</v>
      </c>
      <c r="J283" s="1" t="s">
        <v>3356</v>
      </c>
      <c r="K283" s="1">
        <v>9</v>
      </c>
      <c r="M283" s="1" t="s">
        <v>4279</v>
      </c>
      <c r="N283" s="1">
        <v>2619.16</v>
      </c>
      <c r="O283" s="1">
        <f>(ordersTable[[#This Row],[Quantity]]*ordersTable[[#This Row],[UnitPrice]])-ordersTable[[#This Row],[TotalPrice]]</f>
        <v>0</v>
      </c>
    </row>
    <row r="284" spans="1:15" x14ac:dyDescent="0.3">
      <c r="A284" s="1" t="s">
        <v>296</v>
      </c>
      <c r="B284" s="2">
        <v>45769</v>
      </c>
      <c r="C284" s="3" t="s">
        <v>1496</v>
      </c>
      <c r="D284" s="1" t="s">
        <v>2407</v>
      </c>
      <c r="E284" s="5">
        <v>4</v>
      </c>
      <c r="F284" s="4">
        <v>637.79</v>
      </c>
      <c r="G284" s="1" t="s">
        <v>2652</v>
      </c>
      <c r="H284" s="1" t="s">
        <v>3068</v>
      </c>
      <c r="I284" s="1" t="s">
        <v>3071</v>
      </c>
      <c r="J284" s="1" t="s">
        <v>3357</v>
      </c>
      <c r="K284" s="1">
        <v>9</v>
      </c>
      <c r="L284" s="1" t="s">
        <v>4276</v>
      </c>
      <c r="M284" s="1" t="s">
        <v>4282</v>
      </c>
      <c r="N284" s="1">
        <v>2551.16</v>
      </c>
      <c r="O284" s="1">
        <f>(ordersTable[[#This Row],[Quantity]]*ordersTable[[#This Row],[UnitPrice]])-ordersTable[[#This Row],[TotalPrice]]</f>
        <v>0</v>
      </c>
    </row>
    <row r="285" spans="1:15" x14ac:dyDescent="0.3">
      <c r="A285" s="1" t="s">
        <v>297</v>
      </c>
      <c r="B285" s="2">
        <v>45716</v>
      </c>
      <c r="C285" s="3" t="s">
        <v>1497</v>
      </c>
      <c r="D285" s="1" t="s">
        <v>2408</v>
      </c>
      <c r="E285" s="5">
        <v>4</v>
      </c>
      <c r="F285" s="4">
        <v>540.33000000000004</v>
      </c>
      <c r="G285" s="1" t="s">
        <v>2653</v>
      </c>
      <c r="H285" s="1" t="s">
        <v>3069</v>
      </c>
      <c r="I285" s="1" t="s">
        <v>3070</v>
      </c>
      <c r="J285" s="1" t="s">
        <v>3358</v>
      </c>
      <c r="K285" s="1">
        <v>6</v>
      </c>
      <c r="M285" s="1" t="s">
        <v>4282</v>
      </c>
      <c r="N285" s="1">
        <v>2161.3200000000002</v>
      </c>
      <c r="O285" s="1">
        <f>(ordersTable[[#This Row],[Quantity]]*ordersTable[[#This Row],[UnitPrice]])-ordersTable[[#This Row],[TotalPrice]]</f>
        <v>0</v>
      </c>
    </row>
    <row r="286" spans="1:15" x14ac:dyDescent="0.3">
      <c r="A286" s="1" t="s">
        <v>298</v>
      </c>
      <c r="B286" s="2">
        <v>44973</v>
      </c>
      <c r="C286" s="3" t="s">
        <v>1498</v>
      </c>
      <c r="D286" s="1" t="s">
        <v>2408</v>
      </c>
      <c r="E286" s="5">
        <v>5</v>
      </c>
      <c r="F286" s="4">
        <v>208.17</v>
      </c>
      <c r="G286" s="1" t="s">
        <v>2654</v>
      </c>
      <c r="H286" s="1" t="s">
        <v>3067</v>
      </c>
      <c r="I286" s="1" t="s">
        <v>3072</v>
      </c>
      <c r="J286" s="1" t="s">
        <v>3359</v>
      </c>
      <c r="K286" s="1">
        <v>6</v>
      </c>
      <c r="L286" s="1" t="s">
        <v>4275</v>
      </c>
      <c r="M286" s="1" t="s">
        <v>4281</v>
      </c>
      <c r="N286" s="1">
        <v>1040.8499999999999</v>
      </c>
      <c r="O286" s="1">
        <f>(ordersTable[[#This Row],[Quantity]]*ordersTable[[#This Row],[UnitPrice]])-ordersTable[[#This Row],[TotalPrice]]</f>
        <v>0</v>
      </c>
    </row>
    <row r="287" spans="1:15" x14ac:dyDescent="0.3">
      <c r="A287" s="1" t="s">
        <v>299</v>
      </c>
      <c r="B287" s="2">
        <v>45818</v>
      </c>
      <c r="C287" s="3" t="s">
        <v>1499</v>
      </c>
      <c r="D287" s="1" t="s">
        <v>2404</v>
      </c>
      <c r="E287" s="5">
        <v>1</v>
      </c>
      <c r="F287" s="4">
        <v>338.31</v>
      </c>
      <c r="G287" s="1" t="s">
        <v>2643</v>
      </c>
      <c r="H287" s="1" t="s">
        <v>3066</v>
      </c>
      <c r="I287" s="1" t="s">
        <v>3073</v>
      </c>
      <c r="J287" s="1" t="s">
        <v>3360</v>
      </c>
      <c r="K287" s="1">
        <v>3</v>
      </c>
      <c r="M287" s="1" t="s">
        <v>4282</v>
      </c>
      <c r="N287" s="1">
        <v>338.31</v>
      </c>
      <c r="O287" s="1">
        <f>(ordersTable[[#This Row],[Quantity]]*ordersTable[[#This Row],[UnitPrice]])-ordersTable[[#This Row],[TotalPrice]]</f>
        <v>0</v>
      </c>
    </row>
    <row r="288" spans="1:15" x14ac:dyDescent="0.3">
      <c r="A288" s="1" t="s">
        <v>300</v>
      </c>
      <c r="B288" s="2">
        <v>45754</v>
      </c>
      <c r="C288" s="3" t="s">
        <v>1500</v>
      </c>
      <c r="D288" s="1" t="s">
        <v>2403</v>
      </c>
      <c r="E288" s="5">
        <v>3</v>
      </c>
      <c r="F288" s="4">
        <v>139.44999999999999</v>
      </c>
      <c r="G288" s="1" t="s">
        <v>2522</v>
      </c>
      <c r="H288" s="1" t="s">
        <v>3068</v>
      </c>
      <c r="I288" s="1" t="s">
        <v>3072</v>
      </c>
      <c r="J288" s="1" t="s">
        <v>3361</v>
      </c>
      <c r="K288" s="1">
        <v>8</v>
      </c>
      <c r="L288" s="1" t="s">
        <v>4277</v>
      </c>
      <c r="M288" s="1" t="s">
        <v>4282</v>
      </c>
      <c r="N288" s="1">
        <v>418.35</v>
      </c>
      <c r="O288" s="1">
        <f>(ordersTable[[#This Row],[Quantity]]*ordersTable[[#This Row],[UnitPrice]])-ordersTable[[#This Row],[TotalPrice]]</f>
        <v>0</v>
      </c>
    </row>
    <row r="289" spans="1:15" x14ac:dyDescent="0.3">
      <c r="A289" s="1" t="s">
        <v>301</v>
      </c>
      <c r="B289" s="2">
        <v>45254</v>
      </c>
      <c r="C289" s="3" t="s">
        <v>1501</v>
      </c>
      <c r="D289" s="1" t="s">
        <v>2406</v>
      </c>
      <c r="E289" s="5">
        <v>4</v>
      </c>
      <c r="F289" s="4">
        <v>655.17999999999995</v>
      </c>
      <c r="G289" s="1" t="s">
        <v>2655</v>
      </c>
      <c r="H289" s="1" t="s">
        <v>3066</v>
      </c>
      <c r="I289" s="1" t="s">
        <v>3070</v>
      </c>
      <c r="J289" s="1" t="s">
        <v>3362</v>
      </c>
      <c r="K289" s="1">
        <v>5</v>
      </c>
      <c r="M289" s="1" t="s">
        <v>4281</v>
      </c>
      <c r="N289" s="1">
        <v>2620.7199999999998</v>
      </c>
      <c r="O289" s="1">
        <f>(ordersTable[[#This Row],[Quantity]]*ordersTable[[#This Row],[UnitPrice]])-ordersTable[[#This Row],[TotalPrice]]</f>
        <v>0</v>
      </c>
    </row>
    <row r="290" spans="1:15" x14ac:dyDescent="0.3">
      <c r="A290" s="1" t="s">
        <v>302</v>
      </c>
      <c r="B290" s="2">
        <v>44997</v>
      </c>
      <c r="C290" s="3" t="s">
        <v>1502</v>
      </c>
      <c r="D290" s="1" t="s">
        <v>2408</v>
      </c>
      <c r="E290" s="5">
        <v>4</v>
      </c>
      <c r="F290" s="4">
        <v>512.75</v>
      </c>
      <c r="G290" s="1" t="s">
        <v>2656</v>
      </c>
      <c r="H290" s="1" t="s">
        <v>3065</v>
      </c>
      <c r="I290" s="1" t="s">
        <v>3072</v>
      </c>
      <c r="J290" s="1" t="s">
        <v>3363</v>
      </c>
      <c r="K290" s="1">
        <v>8</v>
      </c>
      <c r="L290" s="1" t="s">
        <v>4277</v>
      </c>
      <c r="M290" s="1" t="s">
        <v>4282</v>
      </c>
      <c r="N290" s="1">
        <v>2051</v>
      </c>
      <c r="O290" s="1">
        <f>(ordersTable[[#This Row],[Quantity]]*ordersTable[[#This Row],[UnitPrice]])-ordersTable[[#This Row],[TotalPrice]]</f>
        <v>0</v>
      </c>
    </row>
    <row r="291" spans="1:15" x14ac:dyDescent="0.3">
      <c r="A291" s="1" t="s">
        <v>303</v>
      </c>
      <c r="B291" s="2">
        <v>45133</v>
      </c>
      <c r="C291" s="3" t="s">
        <v>1503</v>
      </c>
      <c r="D291" s="1" t="s">
        <v>2406</v>
      </c>
      <c r="E291" s="5">
        <v>4</v>
      </c>
      <c r="F291" s="4">
        <v>160.49</v>
      </c>
      <c r="G291" s="1" t="s">
        <v>2420</v>
      </c>
      <c r="H291" s="1" t="s">
        <v>3067</v>
      </c>
      <c r="I291" s="1" t="s">
        <v>3070</v>
      </c>
      <c r="J291" s="1" t="s">
        <v>3364</v>
      </c>
      <c r="K291" s="1">
        <v>8</v>
      </c>
      <c r="L291" s="1" t="s">
        <v>4277</v>
      </c>
      <c r="M291" s="1" t="s">
        <v>4279</v>
      </c>
      <c r="N291" s="1">
        <v>641.96</v>
      </c>
      <c r="O291" s="1">
        <f>(ordersTable[[#This Row],[Quantity]]*ordersTable[[#This Row],[UnitPrice]])-ordersTable[[#This Row],[TotalPrice]]</f>
        <v>0</v>
      </c>
    </row>
    <row r="292" spans="1:15" x14ac:dyDescent="0.3">
      <c r="A292" s="1" t="s">
        <v>304</v>
      </c>
      <c r="B292" s="2">
        <v>45051</v>
      </c>
      <c r="C292" s="3" t="s">
        <v>1504</v>
      </c>
      <c r="D292" s="1" t="s">
        <v>2406</v>
      </c>
      <c r="E292" s="5">
        <v>3</v>
      </c>
      <c r="F292" s="4">
        <v>99.9</v>
      </c>
      <c r="G292" s="1" t="s">
        <v>2575</v>
      </c>
      <c r="H292" s="1" t="s">
        <v>3069</v>
      </c>
      <c r="I292" s="1" t="s">
        <v>3073</v>
      </c>
      <c r="J292" s="1" t="s">
        <v>3365</v>
      </c>
      <c r="K292" s="1">
        <v>8</v>
      </c>
      <c r="L292" s="1" t="s">
        <v>4276</v>
      </c>
      <c r="M292" s="1" t="s">
        <v>4281</v>
      </c>
      <c r="N292" s="1">
        <v>299.7</v>
      </c>
      <c r="O292" s="1">
        <f>(ordersTable[[#This Row],[Quantity]]*ordersTable[[#This Row],[UnitPrice]])-ordersTable[[#This Row],[TotalPrice]]</f>
        <v>0</v>
      </c>
    </row>
    <row r="293" spans="1:15" x14ac:dyDescent="0.3">
      <c r="A293" s="1" t="s">
        <v>305</v>
      </c>
      <c r="B293" s="2">
        <v>45424</v>
      </c>
      <c r="C293" s="3" t="s">
        <v>1505</v>
      </c>
      <c r="D293" s="1" t="s">
        <v>2404</v>
      </c>
      <c r="E293" s="5">
        <v>2</v>
      </c>
      <c r="F293" s="4">
        <v>345.01</v>
      </c>
      <c r="G293" s="1" t="s">
        <v>2657</v>
      </c>
      <c r="H293" s="1" t="s">
        <v>3067</v>
      </c>
      <c r="I293" s="1" t="s">
        <v>3073</v>
      </c>
      <c r="J293" s="1" t="s">
        <v>3366</v>
      </c>
      <c r="K293" s="1">
        <v>6</v>
      </c>
      <c r="L293" s="1" t="s">
        <v>4276</v>
      </c>
      <c r="M293" s="1" t="s">
        <v>4282</v>
      </c>
      <c r="N293" s="1">
        <v>690.02</v>
      </c>
      <c r="O293" s="1">
        <f>(ordersTable[[#This Row],[Quantity]]*ordersTable[[#This Row],[UnitPrice]])-ordersTable[[#This Row],[TotalPrice]]</f>
        <v>0</v>
      </c>
    </row>
    <row r="294" spans="1:15" x14ac:dyDescent="0.3">
      <c r="A294" s="1" t="s">
        <v>306</v>
      </c>
      <c r="B294" s="2">
        <v>45672</v>
      </c>
      <c r="C294" s="3" t="s">
        <v>1506</v>
      </c>
      <c r="D294" s="1" t="s">
        <v>2403</v>
      </c>
      <c r="E294" s="5">
        <v>1</v>
      </c>
      <c r="F294" s="4">
        <v>65.95</v>
      </c>
      <c r="G294" s="1" t="s">
        <v>2594</v>
      </c>
      <c r="H294" s="1" t="s">
        <v>3067</v>
      </c>
      <c r="I294" s="1" t="s">
        <v>3073</v>
      </c>
      <c r="J294" s="1" t="s">
        <v>3367</v>
      </c>
      <c r="K294" s="1">
        <v>5</v>
      </c>
      <c r="M294" s="1" t="s">
        <v>4281</v>
      </c>
      <c r="N294" s="1">
        <v>65.95</v>
      </c>
      <c r="O294" s="1">
        <f>(ordersTable[[#This Row],[Quantity]]*ordersTable[[#This Row],[UnitPrice]])-ordersTable[[#This Row],[TotalPrice]]</f>
        <v>0</v>
      </c>
    </row>
    <row r="295" spans="1:15" x14ac:dyDescent="0.3">
      <c r="A295" s="1" t="s">
        <v>307</v>
      </c>
      <c r="B295" s="2">
        <v>44973</v>
      </c>
      <c r="C295" s="3" t="s">
        <v>1507</v>
      </c>
      <c r="D295" s="1" t="s">
        <v>2405</v>
      </c>
      <c r="E295" s="5">
        <v>4</v>
      </c>
      <c r="F295" s="4">
        <v>463.04</v>
      </c>
      <c r="G295" s="1" t="s">
        <v>2658</v>
      </c>
      <c r="H295" s="1" t="s">
        <v>3068</v>
      </c>
      <c r="I295" s="1" t="s">
        <v>3072</v>
      </c>
      <c r="J295" s="1" t="s">
        <v>3368</v>
      </c>
      <c r="K295" s="1">
        <v>9</v>
      </c>
      <c r="M295" s="1" t="s">
        <v>4278</v>
      </c>
      <c r="N295" s="1">
        <v>1852.16</v>
      </c>
      <c r="O295" s="1">
        <f>(ordersTable[[#This Row],[Quantity]]*ordersTable[[#This Row],[UnitPrice]])-ordersTable[[#This Row],[TotalPrice]]</f>
        <v>0</v>
      </c>
    </row>
    <row r="296" spans="1:15" x14ac:dyDescent="0.3">
      <c r="A296" s="1" t="s">
        <v>308</v>
      </c>
      <c r="B296" s="2">
        <v>45748</v>
      </c>
      <c r="C296" s="3" t="s">
        <v>1508</v>
      </c>
      <c r="D296" s="1" t="s">
        <v>2404</v>
      </c>
      <c r="E296" s="5">
        <v>2</v>
      </c>
      <c r="F296" s="4">
        <v>297.70999999999998</v>
      </c>
      <c r="G296" s="1" t="s">
        <v>2659</v>
      </c>
      <c r="H296" s="1" t="s">
        <v>3066</v>
      </c>
      <c r="I296" s="1" t="s">
        <v>3070</v>
      </c>
      <c r="J296" s="1" t="s">
        <v>3369</v>
      </c>
      <c r="K296" s="1">
        <v>7</v>
      </c>
      <c r="L296" s="1" t="s">
        <v>4275</v>
      </c>
      <c r="M296" s="1" t="s">
        <v>4279</v>
      </c>
      <c r="N296" s="1">
        <v>595.41999999999996</v>
      </c>
      <c r="O296" s="1">
        <f>(ordersTable[[#This Row],[Quantity]]*ordersTable[[#This Row],[UnitPrice]])-ordersTable[[#This Row],[TotalPrice]]</f>
        <v>0</v>
      </c>
    </row>
    <row r="297" spans="1:15" x14ac:dyDescent="0.3">
      <c r="A297" s="1" t="s">
        <v>309</v>
      </c>
      <c r="B297" s="2">
        <v>44951</v>
      </c>
      <c r="C297" s="3" t="s">
        <v>1509</v>
      </c>
      <c r="D297" s="1" t="s">
        <v>2407</v>
      </c>
      <c r="E297" s="5">
        <v>5</v>
      </c>
      <c r="F297" s="4">
        <v>107.48</v>
      </c>
      <c r="G297" s="1" t="s">
        <v>2660</v>
      </c>
      <c r="H297" s="1" t="s">
        <v>3065</v>
      </c>
      <c r="I297" s="1" t="s">
        <v>3071</v>
      </c>
      <c r="J297" s="1" t="s">
        <v>3370</v>
      </c>
      <c r="K297" s="1">
        <v>9</v>
      </c>
      <c r="L297" s="1" t="s">
        <v>4276</v>
      </c>
      <c r="M297" s="1" t="s">
        <v>4280</v>
      </c>
      <c r="N297" s="1">
        <v>537.4</v>
      </c>
      <c r="O297" s="1">
        <f>(ordersTable[[#This Row],[Quantity]]*ordersTable[[#This Row],[UnitPrice]])-ordersTable[[#This Row],[TotalPrice]]</f>
        <v>0</v>
      </c>
    </row>
    <row r="298" spans="1:15" x14ac:dyDescent="0.3">
      <c r="A298" s="1" t="s">
        <v>310</v>
      </c>
      <c r="B298" s="2">
        <v>45462</v>
      </c>
      <c r="C298" s="3" t="s">
        <v>1510</v>
      </c>
      <c r="D298" s="1" t="s">
        <v>2409</v>
      </c>
      <c r="E298" s="5">
        <v>5</v>
      </c>
      <c r="F298" s="4">
        <v>638.79999999999995</v>
      </c>
      <c r="G298" s="1" t="s">
        <v>2458</v>
      </c>
      <c r="H298" s="1" t="s">
        <v>3065</v>
      </c>
      <c r="I298" s="1" t="s">
        <v>3071</v>
      </c>
      <c r="J298" s="1" t="s">
        <v>3371</v>
      </c>
      <c r="K298" s="1">
        <v>10</v>
      </c>
      <c r="L298" s="1" t="s">
        <v>4277</v>
      </c>
      <c r="M298" s="1" t="s">
        <v>4279</v>
      </c>
      <c r="N298" s="1">
        <v>3194</v>
      </c>
      <c r="O298" s="1">
        <f>(ordersTable[[#This Row],[Quantity]]*ordersTable[[#This Row],[UnitPrice]])-ordersTable[[#This Row],[TotalPrice]]</f>
        <v>0</v>
      </c>
    </row>
    <row r="299" spans="1:15" x14ac:dyDescent="0.3">
      <c r="A299" s="1" t="s">
        <v>311</v>
      </c>
      <c r="B299" s="2">
        <v>44979</v>
      </c>
      <c r="C299" s="3" t="s">
        <v>1511</v>
      </c>
      <c r="D299" s="1" t="s">
        <v>2409</v>
      </c>
      <c r="E299" s="5">
        <v>2</v>
      </c>
      <c r="F299" s="4">
        <v>493.88</v>
      </c>
      <c r="G299" s="1" t="s">
        <v>2661</v>
      </c>
      <c r="H299" s="1" t="s">
        <v>3067</v>
      </c>
      <c r="I299" s="1" t="s">
        <v>3072</v>
      </c>
      <c r="J299" s="1" t="s">
        <v>3372</v>
      </c>
      <c r="K299" s="1">
        <v>7</v>
      </c>
      <c r="L299" s="1" t="s">
        <v>4275</v>
      </c>
      <c r="M299" s="1" t="s">
        <v>4278</v>
      </c>
      <c r="N299" s="1">
        <v>987.76</v>
      </c>
      <c r="O299" s="1">
        <f>(ordersTable[[#This Row],[Quantity]]*ordersTable[[#This Row],[UnitPrice]])-ordersTable[[#This Row],[TotalPrice]]</f>
        <v>0</v>
      </c>
    </row>
    <row r="300" spans="1:15" x14ac:dyDescent="0.3">
      <c r="A300" s="1" t="s">
        <v>312</v>
      </c>
      <c r="B300" s="2">
        <v>45279</v>
      </c>
      <c r="C300" s="3" t="s">
        <v>1512</v>
      </c>
      <c r="D300" s="1" t="s">
        <v>2407</v>
      </c>
      <c r="E300" s="5">
        <v>4</v>
      </c>
      <c r="F300" s="4">
        <v>301.17</v>
      </c>
      <c r="G300" s="1" t="s">
        <v>2450</v>
      </c>
      <c r="H300" s="1" t="s">
        <v>3066</v>
      </c>
      <c r="I300" s="1" t="s">
        <v>3071</v>
      </c>
      <c r="J300" s="1" t="s">
        <v>3373</v>
      </c>
      <c r="K300" s="1">
        <v>6</v>
      </c>
      <c r="M300" s="1" t="s">
        <v>4280</v>
      </c>
      <c r="N300" s="1">
        <v>1204.68</v>
      </c>
      <c r="O300" s="1">
        <f>(ordersTable[[#This Row],[Quantity]]*ordersTable[[#This Row],[UnitPrice]])-ordersTable[[#This Row],[TotalPrice]]</f>
        <v>0</v>
      </c>
    </row>
    <row r="301" spans="1:15" x14ac:dyDescent="0.3">
      <c r="A301" s="1" t="s">
        <v>313</v>
      </c>
      <c r="B301" s="2">
        <v>45311</v>
      </c>
      <c r="C301" s="3" t="s">
        <v>1513</v>
      </c>
      <c r="D301" s="1" t="s">
        <v>2403</v>
      </c>
      <c r="E301" s="5">
        <v>1</v>
      </c>
      <c r="F301" s="4">
        <v>278.66000000000003</v>
      </c>
      <c r="G301" s="1" t="s">
        <v>2662</v>
      </c>
      <c r="H301" s="1" t="s">
        <v>3068</v>
      </c>
      <c r="I301" s="1" t="s">
        <v>3071</v>
      </c>
      <c r="J301" s="1" t="s">
        <v>3374</v>
      </c>
      <c r="K301" s="1">
        <v>2</v>
      </c>
      <c r="L301" s="1" t="s">
        <v>4276</v>
      </c>
      <c r="M301" s="1" t="s">
        <v>4278</v>
      </c>
      <c r="N301" s="1">
        <v>278.66000000000003</v>
      </c>
      <c r="O301" s="1">
        <f>(ordersTable[[#This Row],[Quantity]]*ordersTable[[#This Row],[UnitPrice]])-ordersTable[[#This Row],[TotalPrice]]</f>
        <v>0</v>
      </c>
    </row>
    <row r="302" spans="1:15" x14ac:dyDescent="0.3">
      <c r="A302" s="1" t="s">
        <v>314</v>
      </c>
      <c r="B302" s="2">
        <v>45537</v>
      </c>
      <c r="C302" s="3" t="s">
        <v>1514</v>
      </c>
      <c r="D302" s="1" t="s">
        <v>2404</v>
      </c>
      <c r="E302" s="5">
        <v>1</v>
      </c>
      <c r="F302" s="4">
        <v>287.45999999999998</v>
      </c>
      <c r="G302" s="1" t="s">
        <v>2663</v>
      </c>
      <c r="H302" s="1" t="s">
        <v>3065</v>
      </c>
      <c r="I302" s="1" t="s">
        <v>3072</v>
      </c>
      <c r="J302" s="1" t="s">
        <v>3375</v>
      </c>
      <c r="K302" s="1">
        <v>3</v>
      </c>
      <c r="L302" s="1" t="s">
        <v>4276</v>
      </c>
      <c r="M302" s="1" t="s">
        <v>4281</v>
      </c>
      <c r="N302" s="1">
        <v>287.45999999999998</v>
      </c>
      <c r="O302" s="1">
        <f>(ordersTable[[#This Row],[Quantity]]*ordersTable[[#This Row],[UnitPrice]])-ordersTable[[#This Row],[TotalPrice]]</f>
        <v>0</v>
      </c>
    </row>
    <row r="303" spans="1:15" x14ac:dyDescent="0.3">
      <c r="A303" s="1" t="s">
        <v>315</v>
      </c>
      <c r="B303" s="2">
        <v>45057</v>
      </c>
      <c r="C303" s="3" t="s">
        <v>1515</v>
      </c>
      <c r="D303" s="1" t="s">
        <v>2406</v>
      </c>
      <c r="E303" s="5">
        <v>1</v>
      </c>
      <c r="F303" s="4">
        <v>583.99</v>
      </c>
      <c r="G303" s="1" t="s">
        <v>2664</v>
      </c>
      <c r="H303" s="1" t="s">
        <v>3069</v>
      </c>
      <c r="I303" s="1" t="s">
        <v>3071</v>
      </c>
      <c r="J303" s="1" t="s">
        <v>3376</v>
      </c>
      <c r="K303" s="1">
        <v>2</v>
      </c>
      <c r="L303" s="1" t="s">
        <v>4275</v>
      </c>
      <c r="M303" s="1" t="s">
        <v>4280</v>
      </c>
      <c r="N303" s="1">
        <v>583.99</v>
      </c>
      <c r="O303" s="1">
        <f>(ordersTable[[#This Row],[Quantity]]*ordersTable[[#This Row],[UnitPrice]])-ordersTable[[#This Row],[TotalPrice]]</f>
        <v>0</v>
      </c>
    </row>
    <row r="304" spans="1:15" x14ac:dyDescent="0.3">
      <c r="A304" s="1" t="s">
        <v>316</v>
      </c>
      <c r="B304" s="2">
        <v>45062</v>
      </c>
      <c r="C304" s="3" t="s">
        <v>1516</v>
      </c>
      <c r="D304" s="1" t="s">
        <v>2406</v>
      </c>
      <c r="E304" s="5">
        <v>3</v>
      </c>
      <c r="F304" s="4">
        <v>468.74</v>
      </c>
      <c r="G304" s="1" t="s">
        <v>2665</v>
      </c>
      <c r="H304" s="1" t="s">
        <v>3069</v>
      </c>
      <c r="I304" s="1" t="s">
        <v>3074</v>
      </c>
      <c r="J304" s="1" t="s">
        <v>3377</v>
      </c>
      <c r="K304" s="1">
        <v>4</v>
      </c>
      <c r="L304" s="1" t="s">
        <v>4276</v>
      </c>
      <c r="M304" s="1" t="s">
        <v>4278</v>
      </c>
      <c r="N304" s="1">
        <v>1406.22</v>
      </c>
      <c r="O304" s="1">
        <f>(ordersTable[[#This Row],[Quantity]]*ordersTable[[#This Row],[UnitPrice]])-ordersTable[[#This Row],[TotalPrice]]</f>
        <v>0</v>
      </c>
    </row>
    <row r="305" spans="1:15" x14ac:dyDescent="0.3">
      <c r="A305" s="1" t="s">
        <v>317</v>
      </c>
      <c r="B305" s="2">
        <v>45633</v>
      </c>
      <c r="C305" s="3" t="s">
        <v>1517</v>
      </c>
      <c r="D305" s="1" t="s">
        <v>2405</v>
      </c>
      <c r="E305" s="5">
        <v>1</v>
      </c>
      <c r="F305" s="4">
        <v>30.54</v>
      </c>
      <c r="G305" s="1" t="s">
        <v>2666</v>
      </c>
      <c r="H305" s="1" t="s">
        <v>3065</v>
      </c>
      <c r="I305" s="1" t="s">
        <v>3072</v>
      </c>
      <c r="J305" s="1" t="s">
        <v>3378</v>
      </c>
      <c r="K305" s="1">
        <v>1</v>
      </c>
      <c r="M305" s="1" t="s">
        <v>4282</v>
      </c>
      <c r="N305" s="1">
        <v>30.54</v>
      </c>
      <c r="O305" s="1">
        <f>(ordersTable[[#This Row],[Quantity]]*ordersTable[[#This Row],[UnitPrice]])-ordersTable[[#This Row],[TotalPrice]]</f>
        <v>0</v>
      </c>
    </row>
    <row r="306" spans="1:15" x14ac:dyDescent="0.3">
      <c r="A306" s="1" t="s">
        <v>318</v>
      </c>
      <c r="B306" s="2">
        <v>45583</v>
      </c>
      <c r="C306" s="3" t="s">
        <v>1518</v>
      </c>
      <c r="D306" s="1" t="s">
        <v>2403</v>
      </c>
      <c r="E306" s="5">
        <v>5</v>
      </c>
      <c r="F306" s="4">
        <v>408.73</v>
      </c>
      <c r="G306" s="1" t="s">
        <v>2667</v>
      </c>
      <c r="H306" s="1" t="s">
        <v>3068</v>
      </c>
      <c r="I306" s="1" t="s">
        <v>3073</v>
      </c>
      <c r="J306" s="1" t="s">
        <v>3379</v>
      </c>
      <c r="K306" s="1">
        <v>10</v>
      </c>
      <c r="L306" s="1" t="s">
        <v>4276</v>
      </c>
      <c r="M306" s="1" t="s">
        <v>4278</v>
      </c>
      <c r="N306" s="1">
        <v>2043.65</v>
      </c>
      <c r="O306" s="1">
        <f>(ordersTable[[#This Row],[Quantity]]*ordersTable[[#This Row],[UnitPrice]])-ordersTable[[#This Row],[TotalPrice]]</f>
        <v>0</v>
      </c>
    </row>
    <row r="307" spans="1:15" x14ac:dyDescent="0.3">
      <c r="A307" s="1" t="s">
        <v>319</v>
      </c>
      <c r="B307" s="2">
        <v>45255</v>
      </c>
      <c r="C307" s="3" t="s">
        <v>1519</v>
      </c>
      <c r="D307" s="1" t="s">
        <v>2408</v>
      </c>
      <c r="E307" s="5">
        <v>4</v>
      </c>
      <c r="F307" s="4">
        <v>126.89</v>
      </c>
      <c r="G307" s="1" t="s">
        <v>2668</v>
      </c>
      <c r="H307" s="1" t="s">
        <v>3069</v>
      </c>
      <c r="I307" s="1" t="s">
        <v>3074</v>
      </c>
      <c r="J307" s="1" t="s">
        <v>3380</v>
      </c>
      <c r="K307" s="1">
        <v>9</v>
      </c>
      <c r="L307" s="1" t="s">
        <v>4276</v>
      </c>
      <c r="M307" s="1" t="s">
        <v>4278</v>
      </c>
      <c r="N307" s="1">
        <v>507.56</v>
      </c>
      <c r="O307" s="1">
        <f>(ordersTable[[#This Row],[Quantity]]*ordersTable[[#This Row],[UnitPrice]])-ordersTable[[#This Row],[TotalPrice]]</f>
        <v>0</v>
      </c>
    </row>
    <row r="308" spans="1:15" x14ac:dyDescent="0.3">
      <c r="A308" s="1" t="s">
        <v>320</v>
      </c>
      <c r="B308" s="2">
        <v>45450</v>
      </c>
      <c r="C308" s="3" t="s">
        <v>1520</v>
      </c>
      <c r="D308" s="1" t="s">
        <v>2407</v>
      </c>
      <c r="E308" s="5">
        <v>2</v>
      </c>
      <c r="F308" s="4">
        <v>57.07</v>
      </c>
      <c r="G308" s="1" t="s">
        <v>2669</v>
      </c>
      <c r="H308" s="1" t="s">
        <v>3065</v>
      </c>
      <c r="I308" s="1" t="s">
        <v>3072</v>
      </c>
      <c r="J308" s="1" t="s">
        <v>3381</v>
      </c>
      <c r="K308" s="1">
        <v>3</v>
      </c>
      <c r="L308" s="1" t="s">
        <v>4275</v>
      </c>
      <c r="M308" s="1" t="s">
        <v>4278</v>
      </c>
      <c r="N308" s="1">
        <v>114.14</v>
      </c>
      <c r="O308" s="1">
        <f>(ordersTable[[#This Row],[Quantity]]*ordersTable[[#This Row],[UnitPrice]])-ordersTable[[#This Row],[TotalPrice]]</f>
        <v>0</v>
      </c>
    </row>
    <row r="309" spans="1:15" x14ac:dyDescent="0.3">
      <c r="A309" s="1" t="s">
        <v>321</v>
      </c>
      <c r="B309" s="2">
        <v>45108</v>
      </c>
      <c r="C309" s="3" t="s">
        <v>1521</v>
      </c>
      <c r="D309" s="1" t="s">
        <v>2408</v>
      </c>
      <c r="E309" s="5">
        <v>3</v>
      </c>
      <c r="F309" s="4">
        <v>557.41</v>
      </c>
      <c r="G309" s="1" t="s">
        <v>2670</v>
      </c>
      <c r="H309" s="1" t="s">
        <v>3066</v>
      </c>
      <c r="I309" s="1" t="s">
        <v>3073</v>
      </c>
      <c r="J309" s="1" t="s">
        <v>3382</v>
      </c>
      <c r="K309" s="1">
        <v>4</v>
      </c>
      <c r="M309" s="1" t="s">
        <v>4280</v>
      </c>
      <c r="N309" s="1">
        <v>1672.23</v>
      </c>
      <c r="O309" s="1">
        <f>(ordersTable[[#This Row],[Quantity]]*ordersTable[[#This Row],[UnitPrice]])-ordersTable[[#This Row],[TotalPrice]]</f>
        <v>0</v>
      </c>
    </row>
    <row r="310" spans="1:15" x14ac:dyDescent="0.3">
      <c r="A310" s="1" t="s">
        <v>322</v>
      </c>
      <c r="B310" s="2">
        <v>45271</v>
      </c>
      <c r="C310" s="3" t="s">
        <v>1522</v>
      </c>
      <c r="D310" s="1" t="s">
        <v>2407</v>
      </c>
      <c r="E310" s="5">
        <v>3</v>
      </c>
      <c r="F310" s="4">
        <v>448.9</v>
      </c>
      <c r="G310" s="1" t="s">
        <v>2566</v>
      </c>
      <c r="H310" s="1" t="s">
        <v>3065</v>
      </c>
      <c r="I310" s="1" t="s">
        <v>3072</v>
      </c>
      <c r="J310" s="1" t="s">
        <v>3383</v>
      </c>
      <c r="K310" s="1">
        <v>7</v>
      </c>
      <c r="L310" s="1" t="s">
        <v>4275</v>
      </c>
      <c r="M310" s="1" t="s">
        <v>4278</v>
      </c>
      <c r="N310" s="1">
        <v>1346.7</v>
      </c>
      <c r="O310" s="1">
        <f>(ordersTable[[#This Row],[Quantity]]*ordersTable[[#This Row],[UnitPrice]])-ordersTable[[#This Row],[TotalPrice]]</f>
        <v>0</v>
      </c>
    </row>
    <row r="311" spans="1:15" x14ac:dyDescent="0.3">
      <c r="A311" s="1" t="s">
        <v>323</v>
      </c>
      <c r="B311" s="2">
        <v>45202</v>
      </c>
      <c r="C311" s="3" t="s">
        <v>1523</v>
      </c>
      <c r="D311" s="1" t="s">
        <v>2406</v>
      </c>
      <c r="E311" s="5">
        <v>4</v>
      </c>
      <c r="F311" s="4">
        <v>549.76</v>
      </c>
      <c r="G311" s="1" t="s">
        <v>2671</v>
      </c>
      <c r="H311" s="1" t="s">
        <v>3065</v>
      </c>
      <c r="I311" s="1" t="s">
        <v>3073</v>
      </c>
      <c r="J311" s="1" t="s">
        <v>3384</v>
      </c>
      <c r="K311" s="1">
        <v>4</v>
      </c>
      <c r="L311" s="1" t="s">
        <v>4276</v>
      </c>
      <c r="M311" s="1" t="s">
        <v>4281</v>
      </c>
      <c r="N311" s="1">
        <v>2199.04</v>
      </c>
      <c r="O311" s="1">
        <f>(ordersTable[[#This Row],[Quantity]]*ordersTable[[#This Row],[UnitPrice]])-ordersTable[[#This Row],[TotalPrice]]</f>
        <v>0</v>
      </c>
    </row>
    <row r="312" spans="1:15" x14ac:dyDescent="0.3">
      <c r="A312" s="1" t="s">
        <v>324</v>
      </c>
      <c r="B312" s="2">
        <v>45346</v>
      </c>
      <c r="C312" s="3" t="s">
        <v>1524</v>
      </c>
      <c r="D312" s="1" t="s">
        <v>2407</v>
      </c>
      <c r="E312" s="5">
        <v>3</v>
      </c>
      <c r="F312" s="4">
        <v>132.47999999999999</v>
      </c>
      <c r="G312" s="1" t="s">
        <v>2672</v>
      </c>
      <c r="H312" s="1" t="s">
        <v>3066</v>
      </c>
      <c r="I312" s="1" t="s">
        <v>3070</v>
      </c>
      <c r="J312" s="1" t="s">
        <v>3385</v>
      </c>
      <c r="K312" s="1">
        <v>4</v>
      </c>
      <c r="M312" s="1" t="s">
        <v>4279</v>
      </c>
      <c r="N312" s="1">
        <v>397.43999999999988</v>
      </c>
      <c r="O312" s="1">
        <f>(ordersTable[[#This Row],[Quantity]]*ordersTable[[#This Row],[UnitPrice]])-ordersTable[[#This Row],[TotalPrice]]</f>
        <v>0</v>
      </c>
    </row>
    <row r="313" spans="1:15" x14ac:dyDescent="0.3">
      <c r="A313" s="1" t="s">
        <v>325</v>
      </c>
      <c r="B313" s="2">
        <v>45794</v>
      </c>
      <c r="C313" s="3" t="s">
        <v>1525</v>
      </c>
      <c r="D313" s="1" t="s">
        <v>2409</v>
      </c>
      <c r="E313" s="5">
        <v>5</v>
      </c>
      <c r="F313" s="4">
        <v>489.37</v>
      </c>
      <c r="G313" s="1" t="s">
        <v>2673</v>
      </c>
      <c r="H313" s="1" t="s">
        <v>3066</v>
      </c>
      <c r="I313" s="1" t="s">
        <v>3072</v>
      </c>
      <c r="J313" s="1" t="s">
        <v>3386</v>
      </c>
      <c r="K313" s="1">
        <v>8</v>
      </c>
      <c r="M313" s="1" t="s">
        <v>4278</v>
      </c>
      <c r="N313" s="1">
        <v>2446.85</v>
      </c>
      <c r="O313" s="1">
        <f>(ordersTable[[#This Row],[Quantity]]*ordersTable[[#This Row],[UnitPrice]])-ordersTable[[#This Row],[TotalPrice]]</f>
        <v>0</v>
      </c>
    </row>
    <row r="314" spans="1:15" x14ac:dyDescent="0.3">
      <c r="A314" s="1" t="s">
        <v>326</v>
      </c>
      <c r="B314" s="2">
        <v>45801</v>
      </c>
      <c r="C314" s="3" t="s">
        <v>1526</v>
      </c>
      <c r="D314" s="1" t="s">
        <v>2407</v>
      </c>
      <c r="E314" s="5">
        <v>5</v>
      </c>
      <c r="F314" s="4">
        <v>66.31</v>
      </c>
      <c r="G314" s="1" t="s">
        <v>2606</v>
      </c>
      <c r="H314" s="1" t="s">
        <v>3068</v>
      </c>
      <c r="I314" s="1" t="s">
        <v>3074</v>
      </c>
      <c r="J314" s="1" t="s">
        <v>3387</v>
      </c>
      <c r="K314" s="1">
        <v>7</v>
      </c>
      <c r="L314" s="1" t="s">
        <v>4276</v>
      </c>
      <c r="M314" s="1" t="s">
        <v>4279</v>
      </c>
      <c r="N314" s="1">
        <v>331.55</v>
      </c>
      <c r="O314" s="1">
        <f>(ordersTable[[#This Row],[Quantity]]*ordersTable[[#This Row],[UnitPrice]])-ordersTable[[#This Row],[TotalPrice]]</f>
        <v>0</v>
      </c>
    </row>
    <row r="315" spans="1:15" x14ac:dyDescent="0.3">
      <c r="A315" s="1" t="s">
        <v>327</v>
      </c>
      <c r="B315" s="2">
        <v>45116</v>
      </c>
      <c r="C315" s="3" t="s">
        <v>1527</v>
      </c>
      <c r="D315" s="1" t="s">
        <v>2406</v>
      </c>
      <c r="E315" s="5">
        <v>2</v>
      </c>
      <c r="F315" s="4">
        <v>434.3</v>
      </c>
      <c r="G315" s="1" t="s">
        <v>2674</v>
      </c>
      <c r="H315" s="1" t="s">
        <v>3069</v>
      </c>
      <c r="I315" s="1" t="s">
        <v>3073</v>
      </c>
      <c r="J315" s="1" t="s">
        <v>3388</v>
      </c>
      <c r="K315" s="1">
        <v>7</v>
      </c>
      <c r="L315" s="1" t="s">
        <v>4275</v>
      </c>
      <c r="M315" s="1" t="s">
        <v>4278</v>
      </c>
      <c r="N315" s="1">
        <v>868.6</v>
      </c>
      <c r="O315" s="1">
        <f>(ordersTable[[#This Row],[Quantity]]*ordersTable[[#This Row],[UnitPrice]])-ordersTable[[#This Row],[TotalPrice]]</f>
        <v>0</v>
      </c>
    </row>
    <row r="316" spans="1:15" x14ac:dyDescent="0.3">
      <c r="A316" s="1" t="s">
        <v>328</v>
      </c>
      <c r="B316" s="2">
        <v>45203</v>
      </c>
      <c r="C316" s="3" t="s">
        <v>1528</v>
      </c>
      <c r="D316" s="1" t="s">
        <v>2409</v>
      </c>
      <c r="E316" s="5">
        <v>4</v>
      </c>
      <c r="F316" s="4">
        <v>153.09</v>
      </c>
      <c r="G316" s="1" t="s">
        <v>2675</v>
      </c>
      <c r="H316" s="1" t="s">
        <v>3066</v>
      </c>
      <c r="I316" s="1" t="s">
        <v>3073</v>
      </c>
      <c r="J316" s="1" t="s">
        <v>3389</v>
      </c>
      <c r="K316" s="1">
        <v>4</v>
      </c>
      <c r="L316" s="1" t="s">
        <v>4276</v>
      </c>
      <c r="M316" s="1" t="s">
        <v>4279</v>
      </c>
      <c r="N316" s="1">
        <v>612.36</v>
      </c>
      <c r="O316" s="1">
        <f>(ordersTable[[#This Row],[Quantity]]*ordersTable[[#This Row],[UnitPrice]])-ordersTable[[#This Row],[TotalPrice]]</f>
        <v>0</v>
      </c>
    </row>
    <row r="317" spans="1:15" x14ac:dyDescent="0.3">
      <c r="A317" s="1" t="s">
        <v>329</v>
      </c>
      <c r="B317" s="2">
        <v>45789</v>
      </c>
      <c r="C317" s="3" t="s">
        <v>1529</v>
      </c>
      <c r="D317" s="1" t="s">
        <v>2405</v>
      </c>
      <c r="E317" s="5">
        <v>5</v>
      </c>
      <c r="F317" s="4">
        <v>91.67</v>
      </c>
      <c r="G317" s="1" t="s">
        <v>2676</v>
      </c>
      <c r="H317" s="1" t="s">
        <v>3066</v>
      </c>
      <c r="I317" s="1" t="s">
        <v>3071</v>
      </c>
      <c r="J317" s="1" t="s">
        <v>3390</v>
      </c>
      <c r="K317" s="1">
        <v>9</v>
      </c>
      <c r="L317" s="1" t="s">
        <v>4276</v>
      </c>
      <c r="M317" s="1" t="s">
        <v>4280</v>
      </c>
      <c r="N317" s="1">
        <v>458.35</v>
      </c>
      <c r="O317" s="1">
        <f>(ordersTable[[#This Row],[Quantity]]*ordersTable[[#This Row],[UnitPrice]])-ordersTable[[#This Row],[TotalPrice]]</f>
        <v>0</v>
      </c>
    </row>
    <row r="318" spans="1:15" x14ac:dyDescent="0.3">
      <c r="A318" s="1" t="s">
        <v>330</v>
      </c>
      <c r="B318" s="2">
        <v>45201</v>
      </c>
      <c r="C318" s="3" t="s">
        <v>1530</v>
      </c>
      <c r="D318" s="1" t="s">
        <v>2409</v>
      </c>
      <c r="E318" s="5">
        <v>4</v>
      </c>
      <c r="F318" s="4">
        <v>275.27999999999997</v>
      </c>
      <c r="G318" s="1" t="s">
        <v>2677</v>
      </c>
      <c r="H318" s="1" t="s">
        <v>3068</v>
      </c>
      <c r="I318" s="1" t="s">
        <v>3070</v>
      </c>
      <c r="J318" s="1" t="s">
        <v>3391</v>
      </c>
      <c r="K318" s="1">
        <v>9</v>
      </c>
      <c r="L318" s="1" t="s">
        <v>4277</v>
      </c>
      <c r="M318" s="1" t="s">
        <v>4281</v>
      </c>
      <c r="N318" s="1">
        <v>1101.1199999999999</v>
      </c>
      <c r="O318" s="1">
        <f>(ordersTable[[#This Row],[Quantity]]*ordersTable[[#This Row],[UnitPrice]])-ordersTable[[#This Row],[TotalPrice]]</f>
        <v>0</v>
      </c>
    </row>
    <row r="319" spans="1:15" x14ac:dyDescent="0.3">
      <c r="A319" s="1" t="s">
        <v>331</v>
      </c>
      <c r="B319" s="2">
        <v>45026</v>
      </c>
      <c r="C319" s="3" t="s">
        <v>1531</v>
      </c>
      <c r="D319" s="1" t="s">
        <v>2403</v>
      </c>
      <c r="E319" s="5">
        <v>2</v>
      </c>
      <c r="F319" s="4">
        <v>139.94999999999999</v>
      </c>
      <c r="G319" s="1" t="s">
        <v>2678</v>
      </c>
      <c r="H319" s="1" t="s">
        <v>3066</v>
      </c>
      <c r="I319" s="1" t="s">
        <v>3072</v>
      </c>
      <c r="J319" s="1" t="s">
        <v>3392</v>
      </c>
      <c r="K319" s="1">
        <v>5</v>
      </c>
      <c r="M319" s="1" t="s">
        <v>4278</v>
      </c>
      <c r="N319" s="1">
        <v>279.89999999999998</v>
      </c>
      <c r="O319" s="1">
        <f>(ordersTable[[#This Row],[Quantity]]*ordersTable[[#This Row],[UnitPrice]])-ordersTable[[#This Row],[TotalPrice]]</f>
        <v>0</v>
      </c>
    </row>
    <row r="320" spans="1:15" x14ac:dyDescent="0.3">
      <c r="A320" s="1" t="s">
        <v>332</v>
      </c>
      <c r="B320" s="2">
        <v>45500</v>
      </c>
      <c r="C320" s="3" t="s">
        <v>1532</v>
      </c>
      <c r="D320" s="1" t="s">
        <v>2406</v>
      </c>
      <c r="E320" s="5">
        <v>3</v>
      </c>
      <c r="F320" s="4">
        <v>148.72</v>
      </c>
      <c r="G320" s="1" t="s">
        <v>2596</v>
      </c>
      <c r="H320" s="1" t="s">
        <v>3065</v>
      </c>
      <c r="I320" s="1" t="s">
        <v>3071</v>
      </c>
      <c r="J320" s="1" t="s">
        <v>3393</v>
      </c>
      <c r="K320" s="1">
        <v>7</v>
      </c>
      <c r="L320" s="1" t="s">
        <v>4275</v>
      </c>
      <c r="M320" s="1" t="s">
        <v>4282</v>
      </c>
      <c r="N320" s="1">
        <v>446.16</v>
      </c>
      <c r="O320" s="1">
        <f>(ordersTable[[#This Row],[Quantity]]*ordersTable[[#This Row],[UnitPrice]])-ordersTable[[#This Row],[TotalPrice]]</f>
        <v>0</v>
      </c>
    </row>
    <row r="321" spans="1:15" x14ac:dyDescent="0.3">
      <c r="A321" s="1" t="s">
        <v>333</v>
      </c>
      <c r="B321" s="2">
        <v>45262</v>
      </c>
      <c r="C321" s="3" t="s">
        <v>1533</v>
      </c>
      <c r="D321" s="1" t="s">
        <v>2408</v>
      </c>
      <c r="E321" s="5">
        <v>2</v>
      </c>
      <c r="F321" s="4">
        <v>563.05999999999995</v>
      </c>
      <c r="G321" s="1" t="s">
        <v>2679</v>
      </c>
      <c r="H321" s="1" t="s">
        <v>3069</v>
      </c>
      <c r="I321" s="1" t="s">
        <v>3072</v>
      </c>
      <c r="J321" s="1" t="s">
        <v>3394</v>
      </c>
      <c r="K321" s="1">
        <v>6</v>
      </c>
      <c r="M321" s="1" t="s">
        <v>4278</v>
      </c>
      <c r="N321" s="1">
        <v>1126.1199999999999</v>
      </c>
      <c r="O321" s="1">
        <f>(ordersTable[[#This Row],[Quantity]]*ordersTable[[#This Row],[UnitPrice]])-ordersTable[[#This Row],[TotalPrice]]</f>
        <v>0</v>
      </c>
    </row>
    <row r="322" spans="1:15" x14ac:dyDescent="0.3">
      <c r="A322" s="1" t="s">
        <v>334</v>
      </c>
      <c r="B322" s="2">
        <v>45645</v>
      </c>
      <c r="C322" s="3" t="s">
        <v>1534</v>
      </c>
      <c r="D322" s="1" t="s">
        <v>2407</v>
      </c>
      <c r="E322" s="5">
        <v>1</v>
      </c>
      <c r="F322" s="4">
        <v>625.51</v>
      </c>
      <c r="G322" s="1" t="s">
        <v>2680</v>
      </c>
      <c r="H322" s="1" t="s">
        <v>3067</v>
      </c>
      <c r="I322" s="1" t="s">
        <v>3070</v>
      </c>
      <c r="J322" s="1" t="s">
        <v>3395</v>
      </c>
      <c r="K322" s="1">
        <v>1</v>
      </c>
      <c r="L322" s="1" t="s">
        <v>4276</v>
      </c>
      <c r="M322" s="1" t="s">
        <v>4281</v>
      </c>
      <c r="N322" s="1">
        <v>625.51</v>
      </c>
      <c r="O322" s="1">
        <f>(ordersTable[[#This Row],[Quantity]]*ordersTable[[#This Row],[UnitPrice]])-ordersTable[[#This Row],[TotalPrice]]</f>
        <v>0</v>
      </c>
    </row>
    <row r="323" spans="1:15" x14ac:dyDescent="0.3">
      <c r="A323" s="1" t="s">
        <v>335</v>
      </c>
      <c r="B323" s="2">
        <v>45147</v>
      </c>
      <c r="C323" s="3" t="s">
        <v>1535</v>
      </c>
      <c r="D323" s="1" t="s">
        <v>2404</v>
      </c>
      <c r="E323" s="5">
        <v>4</v>
      </c>
      <c r="F323" s="4">
        <v>152.29</v>
      </c>
      <c r="G323" s="1" t="s">
        <v>2670</v>
      </c>
      <c r="H323" s="1" t="s">
        <v>3065</v>
      </c>
      <c r="I323" s="1" t="s">
        <v>3071</v>
      </c>
      <c r="J323" s="1" t="s">
        <v>3396</v>
      </c>
      <c r="K323" s="1">
        <v>6</v>
      </c>
      <c r="L323" s="1" t="s">
        <v>4277</v>
      </c>
      <c r="M323" s="1" t="s">
        <v>4282</v>
      </c>
      <c r="N323" s="1">
        <v>609.16</v>
      </c>
      <c r="O323" s="1">
        <f>(ordersTable[[#This Row],[Quantity]]*ordersTable[[#This Row],[UnitPrice]])-ordersTable[[#This Row],[TotalPrice]]</f>
        <v>0</v>
      </c>
    </row>
    <row r="324" spans="1:15" x14ac:dyDescent="0.3">
      <c r="A324" s="1" t="s">
        <v>336</v>
      </c>
      <c r="B324" s="2">
        <v>45457</v>
      </c>
      <c r="C324" s="3" t="s">
        <v>1536</v>
      </c>
      <c r="D324" s="1" t="s">
        <v>2404</v>
      </c>
      <c r="E324" s="5">
        <v>5</v>
      </c>
      <c r="F324" s="4">
        <v>231.82</v>
      </c>
      <c r="G324" s="1" t="s">
        <v>2678</v>
      </c>
      <c r="H324" s="1" t="s">
        <v>3065</v>
      </c>
      <c r="I324" s="1" t="s">
        <v>3073</v>
      </c>
      <c r="J324" s="1" t="s">
        <v>3397</v>
      </c>
      <c r="K324" s="1">
        <v>6</v>
      </c>
      <c r="L324" s="1" t="s">
        <v>4275</v>
      </c>
      <c r="M324" s="1" t="s">
        <v>4281</v>
      </c>
      <c r="N324" s="1">
        <v>1159.0999999999999</v>
      </c>
      <c r="O324" s="1">
        <f>(ordersTable[[#This Row],[Quantity]]*ordersTable[[#This Row],[UnitPrice]])-ordersTable[[#This Row],[TotalPrice]]</f>
        <v>0</v>
      </c>
    </row>
    <row r="325" spans="1:15" x14ac:dyDescent="0.3">
      <c r="A325" s="1" t="s">
        <v>337</v>
      </c>
      <c r="B325" s="2">
        <v>45683</v>
      </c>
      <c r="C325" s="3" t="s">
        <v>1537</v>
      </c>
      <c r="D325" s="1" t="s">
        <v>2408</v>
      </c>
      <c r="E325" s="5">
        <v>1</v>
      </c>
      <c r="F325" s="4">
        <v>150.16999999999999</v>
      </c>
      <c r="G325" s="1" t="s">
        <v>2681</v>
      </c>
      <c r="H325" s="1" t="s">
        <v>3065</v>
      </c>
      <c r="I325" s="1" t="s">
        <v>3072</v>
      </c>
      <c r="J325" s="1" t="s">
        <v>3398</v>
      </c>
      <c r="K325" s="1">
        <v>1</v>
      </c>
      <c r="L325" s="1" t="s">
        <v>4275</v>
      </c>
      <c r="M325" s="1" t="s">
        <v>4279</v>
      </c>
      <c r="N325" s="1">
        <v>150.16999999999999</v>
      </c>
      <c r="O325" s="1">
        <f>(ordersTable[[#This Row],[Quantity]]*ordersTable[[#This Row],[UnitPrice]])-ordersTable[[#This Row],[TotalPrice]]</f>
        <v>0</v>
      </c>
    </row>
    <row r="326" spans="1:15" x14ac:dyDescent="0.3">
      <c r="A326" s="1" t="s">
        <v>338</v>
      </c>
      <c r="B326" s="2">
        <v>45456</v>
      </c>
      <c r="C326" s="3" t="s">
        <v>1538</v>
      </c>
      <c r="D326" s="1" t="s">
        <v>2405</v>
      </c>
      <c r="E326" s="5">
        <v>3</v>
      </c>
      <c r="F326" s="4">
        <v>70.930000000000007</v>
      </c>
      <c r="G326" s="1" t="s">
        <v>2682</v>
      </c>
      <c r="H326" s="1" t="s">
        <v>3065</v>
      </c>
      <c r="I326" s="1" t="s">
        <v>3072</v>
      </c>
      <c r="J326" s="1" t="s">
        <v>3399</v>
      </c>
      <c r="K326" s="1">
        <v>5</v>
      </c>
      <c r="M326" s="1" t="s">
        <v>4279</v>
      </c>
      <c r="N326" s="1">
        <v>212.79</v>
      </c>
      <c r="O326" s="1">
        <f>(ordersTable[[#This Row],[Quantity]]*ordersTable[[#This Row],[UnitPrice]])-ordersTable[[#This Row],[TotalPrice]]</f>
        <v>0</v>
      </c>
    </row>
    <row r="327" spans="1:15" x14ac:dyDescent="0.3">
      <c r="A327" s="1" t="s">
        <v>339</v>
      </c>
      <c r="B327" s="2">
        <v>45106</v>
      </c>
      <c r="C327" s="3" t="s">
        <v>1539</v>
      </c>
      <c r="D327" s="1" t="s">
        <v>2409</v>
      </c>
      <c r="E327" s="5">
        <v>3</v>
      </c>
      <c r="F327" s="4">
        <v>361.39</v>
      </c>
      <c r="G327" s="1" t="s">
        <v>2683</v>
      </c>
      <c r="H327" s="1" t="s">
        <v>3067</v>
      </c>
      <c r="I327" s="1" t="s">
        <v>3070</v>
      </c>
      <c r="J327" s="1" t="s">
        <v>3400</v>
      </c>
      <c r="K327" s="1">
        <v>8</v>
      </c>
      <c r="M327" s="1" t="s">
        <v>4279</v>
      </c>
      <c r="N327" s="1">
        <v>1084.17</v>
      </c>
      <c r="O327" s="1">
        <f>(ordersTable[[#This Row],[Quantity]]*ordersTable[[#This Row],[UnitPrice]])-ordersTable[[#This Row],[TotalPrice]]</f>
        <v>0</v>
      </c>
    </row>
    <row r="328" spans="1:15" x14ac:dyDescent="0.3">
      <c r="A328" s="1" t="s">
        <v>340</v>
      </c>
      <c r="B328" s="2">
        <v>45474</v>
      </c>
      <c r="C328" s="3" t="s">
        <v>1540</v>
      </c>
      <c r="D328" s="1" t="s">
        <v>2408</v>
      </c>
      <c r="E328" s="5">
        <v>5</v>
      </c>
      <c r="F328" s="4">
        <v>670.48</v>
      </c>
      <c r="G328" s="1" t="s">
        <v>2429</v>
      </c>
      <c r="H328" s="1" t="s">
        <v>3068</v>
      </c>
      <c r="I328" s="1" t="s">
        <v>3072</v>
      </c>
      <c r="J328" s="1" t="s">
        <v>3401</v>
      </c>
      <c r="K328" s="1">
        <v>5</v>
      </c>
      <c r="L328" s="1" t="s">
        <v>4275</v>
      </c>
      <c r="M328" s="1" t="s">
        <v>4281</v>
      </c>
      <c r="N328" s="1">
        <v>3352.4</v>
      </c>
      <c r="O328" s="1">
        <f>(ordersTable[[#This Row],[Quantity]]*ordersTable[[#This Row],[UnitPrice]])-ordersTable[[#This Row],[TotalPrice]]</f>
        <v>0</v>
      </c>
    </row>
    <row r="329" spans="1:15" x14ac:dyDescent="0.3">
      <c r="A329" s="1" t="s">
        <v>341</v>
      </c>
      <c r="B329" s="2">
        <v>45132</v>
      </c>
      <c r="C329" s="3" t="s">
        <v>1541</v>
      </c>
      <c r="D329" s="1" t="s">
        <v>2404</v>
      </c>
      <c r="E329" s="5">
        <v>1</v>
      </c>
      <c r="F329" s="4">
        <v>359.99</v>
      </c>
      <c r="G329" s="1" t="s">
        <v>2471</v>
      </c>
      <c r="H329" s="1" t="s">
        <v>3068</v>
      </c>
      <c r="I329" s="1" t="s">
        <v>3071</v>
      </c>
      <c r="J329" s="1" t="s">
        <v>3402</v>
      </c>
      <c r="K329" s="1">
        <v>5</v>
      </c>
      <c r="L329" s="1" t="s">
        <v>4275</v>
      </c>
      <c r="M329" s="1" t="s">
        <v>4280</v>
      </c>
      <c r="N329" s="1">
        <v>359.99</v>
      </c>
      <c r="O329" s="1">
        <f>(ordersTable[[#This Row],[Quantity]]*ordersTable[[#This Row],[UnitPrice]])-ordersTable[[#This Row],[TotalPrice]]</f>
        <v>0</v>
      </c>
    </row>
    <row r="330" spans="1:15" x14ac:dyDescent="0.3">
      <c r="A330" s="1" t="s">
        <v>342</v>
      </c>
      <c r="B330" s="2">
        <v>44985</v>
      </c>
      <c r="C330" s="3" t="s">
        <v>1542</v>
      </c>
      <c r="D330" s="1" t="s">
        <v>2405</v>
      </c>
      <c r="E330" s="5">
        <v>5</v>
      </c>
      <c r="F330" s="4">
        <v>674.04</v>
      </c>
      <c r="G330" s="1" t="s">
        <v>2684</v>
      </c>
      <c r="H330" s="1" t="s">
        <v>3066</v>
      </c>
      <c r="I330" s="1" t="s">
        <v>3071</v>
      </c>
      <c r="J330" s="1" t="s">
        <v>3403</v>
      </c>
      <c r="K330" s="1">
        <v>7</v>
      </c>
      <c r="L330" s="1" t="s">
        <v>4275</v>
      </c>
      <c r="M330" s="1" t="s">
        <v>4282</v>
      </c>
      <c r="N330" s="1">
        <v>3370.2</v>
      </c>
      <c r="O330" s="1">
        <f>(ordersTable[[#This Row],[Quantity]]*ordersTable[[#This Row],[UnitPrice]])-ordersTable[[#This Row],[TotalPrice]]</f>
        <v>0</v>
      </c>
    </row>
    <row r="331" spans="1:15" x14ac:dyDescent="0.3">
      <c r="A331" s="1" t="s">
        <v>343</v>
      </c>
      <c r="B331" s="2">
        <v>45651</v>
      </c>
      <c r="C331" s="3" t="s">
        <v>1543</v>
      </c>
      <c r="D331" s="1" t="s">
        <v>2406</v>
      </c>
      <c r="E331" s="5">
        <v>4</v>
      </c>
      <c r="F331" s="4">
        <v>283.16000000000003</v>
      </c>
      <c r="G331" s="1" t="s">
        <v>2622</v>
      </c>
      <c r="H331" s="1" t="s">
        <v>3067</v>
      </c>
      <c r="I331" s="1" t="s">
        <v>3070</v>
      </c>
      <c r="J331" s="1" t="s">
        <v>3404</v>
      </c>
      <c r="K331" s="1">
        <v>6</v>
      </c>
      <c r="M331" s="1" t="s">
        <v>4282</v>
      </c>
      <c r="N331" s="1">
        <v>1132.6400000000001</v>
      </c>
      <c r="O331" s="1">
        <f>(ordersTable[[#This Row],[Quantity]]*ordersTable[[#This Row],[UnitPrice]])-ordersTable[[#This Row],[TotalPrice]]</f>
        <v>0</v>
      </c>
    </row>
    <row r="332" spans="1:15" x14ac:dyDescent="0.3">
      <c r="A332" s="1" t="s">
        <v>344</v>
      </c>
      <c r="B332" s="2">
        <v>45445</v>
      </c>
      <c r="C332" s="3" t="s">
        <v>1544</v>
      </c>
      <c r="D332" s="1" t="s">
        <v>2409</v>
      </c>
      <c r="E332" s="5">
        <v>5</v>
      </c>
      <c r="F332" s="4">
        <v>260.52999999999997</v>
      </c>
      <c r="G332" s="1" t="s">
        <v>2685</v>
      </c>
      <c r="H332" s="1" t="s">
        <v>3068</v>
      </c>
      <c r="I332" s="1" t="s">
        <v>3074</v>
      </c>
      <c r="J332" s="1" t="s">
        <v>3405</v>
      </c>
      <c r="K332" s="1">
        <v>5</v>
      </c>
      <c r="L332" s="1" t="s">
        <v>4275</v>
      </c>
      <c r="M332" s="1" t="s">
        <v>4278</v>
      </c>
      <c r="N332" s="1">
        <v>1302.6500000000001</v>
      </c>
      <c r="O332" s="1">
        <f>(ordersTable[[#This Row],[Quantity]]*ordersTable[[#This Row],[UnitPrice]])-ordersTable[[#This Row],[TotalPrice]]</f>
        <v>0</v>
      </c>
    </row>
    <row r="333" spans="1:15" x14ac:dyDescent="0.3">
      <c r="A333" s="1" t="s">
        <v>345</v>
      </c>
      <c r="B333" s="2">
        <v>45031</v>
      </c>
      <c r="C333" s="3" t="s">
        <v>1545</v>
      </c>
      <c r="D333" s="1" t="s">
        <v>2407</v>
      </c>
      <c r="E333" s="5">
        <v>3</v>
      </c>
      <c r="F333" s="4">
        <v>422.13</v>
      </c>
      <c r="G333" s="1" t="s">
        <v>2522</v>
      </c>
      <c r="H333" s="1" t="s">
        <v>3066</v>
      </c>
      <c r="I333" s="1" t="s">
        <v>3073</v>
      </c>
      <c r="J333" s="1" t="s">
        <v>3406</v>
      </c>
      <c r="K333" s="1">
        <v>7</v>
      </c>
      <c r="L333" s="1" t="s">
        <v>4275</v>
      </c>
      <c r="M333" s="1" t="s">
        <v>4281</v>
      </c>
      <c r="N333" s="1">
        <v>1266.3900000000001</v>
      </c>
      <c r="O333" s="1">
        <f>(ordersTable[[#This Row],[Quantity]]*ordersTable[[#This Row],[UnitPrice]])-ordersTable[[#This Row],[TotalPrice]]</f>
        <v>0</v>
      </c>
    </row>
    <row r="334" spans="1:15" x14ac:dyDescent="0.3">
      <c r="A334" s="1" t="s">
        <v>346</v>
      </c>
      <c r="B334" s="2">
        <v>45476</v>
      </c>
      <c r="C334" s="3" t="s">
        <v>1546</v>
      </c>
      <c r="D334" s="1" t="s">
        <v>2409</v>
      </c>
      <c r="E334" s="5">
        <v>5</v>
      </c>
      <c r="F334" s="4">
        <v>125.02</v>
      </c>
      <c r="G334" s="1" t="s">
        <v>2686</v>
      </c>
      <c r="H334" s="1" t="s">
        <v>3065</v>
      </c>
      <c r="I334" s="1" t="s">
        <v>3074</v>
      </c>
      <c r="J334" s="1" t="s">
        <v>3407</v>
      </c>
      <c r="K334" s="1">
        <v>9</v>
      </c>
      <c r="L334" s="1" t="s">
        <v>4275</v>
      </c>
      <c r="M334" s="1" t="s">
        <v>4282</v>
      </c>
      <c r="N334" s="1">
        <v>625.1</v>
      </c>
      <c r="O334" s="1">
        <f>(ordersTable[[#This Row],[Quantity]]*ordersTable[[#This Row],[UnitPrice]])-ordersTable[[#This Row],[TotalPrice]]</f>
        <v>0</v>
      </c>
    </row>
    <row r="335" spans="1:15" x14ac:dyDescent="0.3">
      <c r="A335" s="1" t="s">
        <v>347</v>
      </c>
      <c r="B335" s="2">
        <v>45398</v>
      </c>
      <c r="C335" s="3" t="s">
        <v>1547</v>
      </c>
      <c r="D335" s="1" t="s">
        <v>2404</v>
      </c>
      <c r="E335" s="5">
        <v>1</v>
      </c>
      <c r="F335" s="4">
        <v>198.51</v>
      </c>
      <c r="G335" s="1" t="s">
        <v>2687</v>
      </c>
      <c r="H335" s="1" t="s">
        <v>3067</v>
      </c>
      <c r="I335" s="1" t="s">
        <v>3072</v>
      </c>
      <c r="J335" s="1" t="s">
        <v>3408</v>
      </c>
      <c r="K335" s="1">
        <v>5</v>
      </c>
      <c r="L335" s="1" t="s">
        <v>4277</v>
      </c>
      <c r="M335" s="1" t="s">
        <v>4278</v>
      </c>
      <c r="N335" s="1">
        <v>198.51</v>
      </c>
      <c r="O335" s="1">
        <f>(ordersTable[[#This Row],[Quantity]]*ordersTable[[#This Row],[UnitPrice]])-ordersTable[[#This Row],[TotalPrice]]</f>
        <v>0</v>
      </c>
    </row>
    <row r="336" spans="1:15" x14ac:dyDescent="0.3">
      <c r="A336" s="1" t="s">
        <v>348</v>
      </c>
      <c r="B336" s="2">
        <v>45377</v>
      </c>
      <c r="C336" s="3" t="s">
        <v>1548</v>
      </c>
      <c r="D336" s="1" t="s">
        <v>2406</v>
      </c>
      <c r="E336" s="5">
        <v>4</v>
      </c>
      <c r="F336" s="4">
        <v>224.75</v>
      </c>
      <c r="G336" s="1" t="s">
        <v>2688</v>
      </c>
      <c r="H336" s="1" t="s">
        <v>3066</v>
      </c>
      <c r="I336" s="1" t="s">
        <v>3073</v>
      </c>
      <c r="J336" s="1" t="s">
        <v>3409</v>
      </c>
      <c r="K336" s="1">
        <v>7</v>
      </c>
      <c r="L336" s="1" t="s">
        <v>4277</v>
      </c>
      <c r="M336" s="1" t="s">
        <v>4281</v>
      </c>
      <c r="N336" s="1">
        <v>899</v>
      </c>
      <c r="O336" s="1">
        <f>(ordersTable[[#This Row],[Quantity]]*ordersTable[[#This Row],[UnitPrice]])-ordersTable[[#This Row],[TotalPrice]]</f>
        <v>0</v>
      </c>
    </row>
    <row r="337" spans="1:15" x14ac:dyDescent="0.3">
      <c r="A337" s="1" t="s">
        <v>349</v>
      </c>
      <c r="B337" s="2">
        <v>45719</v>
      </c>
      <c r="C337" s="3" t="s">
        <v>1549</v>
      </c>
      <c r="D337" s="1" t="s">
        <v>2405</v>
      </c>
      <c r="E337" s="5">
        <v>3</v>
      </c>
      <c r="F337" s="4">
        <v>205.86</v>
      </c>
      <c r="G337" s="1" t="s">
        <v>2674</v>
      </c>
      <c r="H337" s="1" t="s">
        <v>3068</v>
      </c>
      <c r="I337" s="1" t="s">
        <v>3070</v>
      </c>
      <c r="J337" s="1" t="s">
        <v>3410</v>
      </c>
      <c r="K337" s="1">
        <v>4</v>
      </c>
      <c r="M337" s="1" t="s">
        <v>4280</v>
      </c>
      <c r="N337" s="1">
        <v>617.58000000000004</v>
      </c>
      <c r="O337" s="1">
        <f>(ordersTable[[#This Row],[Quantity]]*ordersTable[[#This Row],[UnitPrice]])-ordersTable[[#This Row],[TotalPrice]]</f>
        <v>0</v>
      </c>
    </row>
    <row r="338" spans="1:15" x14ac:dyDescent="0.3">
      <c r="A338" s="1" t="s">
        <v>350</v>
      </c>
      <c r="B338" s="2">
        <v>45289</v>
      </c>
      <c r="C338" s="3" t="s">
        <v>1550</v>
      </c>
      <c r="D338" s="1" t="s">
        <v>2408</v>
      </c>
      <c r="E338" s="5">
        <v>1</v>
      </c>
      <c r="F338" s="4">
        <v>18.2</v>
      </c>
      <c r="G338" s="1" t="s">
        <v>2689</v>
      </c>
      <c r="H338" s="1" t="s">
        <v>3065</v>
      </c>
      <c r="I338" s="1" t="s">
        <v>3074</v>
      </c>
      <c r="J338" s="1" t="s">
        <v>3411</v>
      </c>
      <c r="K338" s="1">
        <v>4</v>
      </c>
      <c r="L338" s="1" t="s">
        <v>4275</v>
      </c>
      <c r="M338" s="1" t="s">
        <v>4278</v>
      </c>
      <c r="N338" s="1">
        <v>18.2</v>
      </c>
      <c r="O338" s="1">
        <f>(ordersTable[[#This Row],[Quantity]]*ordersTable[[#This Row],[UnitPrice]])-ordersTable[[#This Row],[TotalPrice]]</f>
        <v>0</v>
      </c>
    </row>
    <row r="339" spans="1:15" x14ac:dyDescent="0.3">
      <c r="A339" s="1" t="s">
        <v>351</v>
      </c>
      <c r="B339" s="2">
        <v>45075</v>
      </c>
      <c r="C339" s="3" t="s">
        <v>1551</v>
      </c>
      <c r="D339" s="1" t="s">
        <v>2405</v>
      </c>
      <c r="E339" s="5">
        <v>3</v>
      </c>
      <c r="F339" s="4">
        <v>502.77</v>
      </c>
      <c r="G339" s="1" t="s">
        <v>2690</v>
      </c>
      <c r="H339" s="1" t="s">
        <v>3065</v>
      </c>
      <c r="I339" s="1" t="s">
        <v>3072</v>
      </c>
      <c r="J339" s="1" t="s">
        <v>3412</v>
      </c>
      <c r="K339" s="1">
        <v>8</v>
      </c>
      <c r="L339" s="1" t="s">
        <v>4277</v>
      </c>
      <c r="M339" s="1" t="s">
        <v>4280</v>
      </c>
      <c r="N339" s="1">
        <v>1508.31</v>
      </c>
      <c r="O339" s="1">
        <f>(ordersTable[[#This Row],[Quantity]]*ordersTable[[#This Row],[UnitPrice]])-ordersTable[[#This Row],[TotalPrice]]</f>
        <v>0</v>
      </c>
    </row>
    <row r="340" spans="1:15" x14ac:dyDescent="0.3">
      <c r="A340" s="1" t="s">
        <v>352</v>
      </c>
      <c r="B340" s="2">
        <v>45238</v>
      </c>
      <c r="C340" s="3" t="s">
        <v>1552</v>
      </c>
      <c r="D340" s="1" t="s">
        <v>2404</v>
      </c>
      <c r="E340" s="5">
        <v>5</v>
      </c>
      <c r="F340" s="4">
        <v>305.49</v>
      </c>
      <c r="G340" s="1" t="s">
        <v>2691</v>
      </c>
      <c r="H340" s="1" t="s">
        <v>3065</v>
      </c>
      <c r="I340" s="1" t="s">
        <v>3070</v>
      </c>
      <c r="J340" s="1" t="s">
        <v>3413</v>
      </c>
      <c r="K340" s="1">
        <v>10</v>
      </c>
      <c r="M340" s="1" t="s">
        <v>4279</v>
      </c>
      <c r="N340" s="1">
        <v>1527.45</v>
      </c>
      <c r="O340" s="1">
        <f>(ordersTable[[#This Row],[Quantity]]*ordersTable[[#This Row],[UnitPrice]])-ordersTable[[#This Row],[TotalPrice]]</f>
        <v>0</v>
      </c>
    </row>
    <row r="341" spans="1:15" x14ac:dyDescent="0.3">
      <c r="A341" s="1" t="s">
        <v>353</v>
      </c>
      <c r="B341" s="2">
        <v>45392</v>
      </c>
      <c r="C341" s="3" t="s">
        <v>1553</v>
      </c>
      <c r="D341" s="1" t="s">
        <v>2407</v>
      </c>
      <c r="E341" s="5">
        <v>2</v>
      </c>
      <c r="F341" s="4">
        <v>236.33</v>
      </c>
      <c r="G341" s="1" t="s">
        <v>2692</v>
      </c>
      <c r="H341" s="1" t="s">
        <v>3066</v>
      </c>
      <c r="I341" s="1" t="s">
        <v>3074</v>
      </c>
      <c r="J341" s="1" t="s">
        <v>3414</v>
      </c>
      <c r="K341" s="1">
        <v>3</v>
      </c>
      <c r="L341" s="1" t="s">
        <v>4275</v>
      </c>
      <c r="M341" s="1" t="s">
        <v>4278</v>
      </c>
      <c r="N341" s="1">
        <v>472.66</v>
      </c>
      <c r="O341" s="1">
        <f>(ordersTable[[#This Row],[Quantity]]*ordersTable[[#This Row],[UnitPrice]])-ordersTable[[#This Row],[TotalPrice]]</f>
        <v>0</v>
      </c>
    </row>
    <row r="342" spans="1:15" x14ac:dyDescent="0.3">
      <c r="A342" s="1" t="s">
        <v>354</v>
      </c>
      <c r="B342" s="2">
        <v>45039</v>
      </c>
      <c r="C342" s="3" t="s">
        <v>1554</v>
      </c>
      <c r="D342" s="1" t="s">
        <v>2408</v>
      </c>
      <c r="E342" s="5">
        <v>5</v>
      </c>
      <c r="F342" s="4">
        <v>521.25</v>
      </c>
      <c r="G342" s="1" t="s">
        <v>2693</v>
      </c>
      <c r="H342" s="1" t="s">
        <v>3069</v>
      </c>
      <c r="I342" s="1" t="s">
        <v>3071</v>
      </c>
      <c r="J342" s="1" t="s">
        <v>3415</v>
      </c>
      <c r="K342" s="1">
        <v>8</v>
      </c>
      <c r="M342" s="1" t="s">
        <v>4280</v>
      </c>
      <c r="N342" s="1">
        <v>2606.25</v>
      </c>
      <c r="O342" s="1">
        <f>(ordersTable[[#This Row],[Quantity]]*ordersTable[[#This Row],[UnitPrice]])-ordersTable[[#This Row],[TotalPrice]]</f>
        <v>0</v>
      </c>
    </row>
    <row r="343" spans="1:15" x14ac:dyDescent="0.3">
      <c r="A343" s="1" t="s">
        <v>355</v>
      </c>
      <c r="B343" s="2">
        <v>45558</v>
      </c>
      <c r="C343" s="3" t="s">
        <v>1555</v>
      </c>
      <c r="D343" s="1" t="s">
        <v>2405</v>
      </c>
      <c r="E343" s="5">
        <v>1</v>
      </c>
      <c r="F343" s="4">
        <v>167.15</v>
      </c>
      <c r="G343" s="1" t="s">
        <v>2694</v>
      </c>
      <c r="H343" s="1" t="s">
        <v>3068</v>
      </c>
      <c r="I343" s="1" t="s">
        <v>3070</v>
      </c>
      <c r="J343" s="1" t="s">
        <v>3416</v>
      </c>
      <c r="K343" s="1">
        <v>5</v>
      </c>
      <c r="L343" s="1" t="s">
        <v>4277</v>
      </c>
      <c r="M343" s="1" t="s">
        <v>4280</v>
      </c>
      <c r="N343" s="1">
        <v>167.15</v>
      </c>
      <c r="O343" s="1">
        <f>(ordersTable[[#This Row],[Quantity]]*ordersTable[[#This Row],[UnitPrice]])-ordersTable[[#This Row],[TotalPrice]]</f>
        <v>0</v>
      </c>
    </row>
    <row r="344" spans="1:15" x14ac:dyDescent="0.3">
      <c r="A344" s="1" t="s">
        <v>356</v>
      </c>
      <c r="B344" s="2">
        <v>45832</v>
      </c>
      <c r="C344" s="3" t="s">
        <v>1556</v>
      </c>
      <c r="D344" s="1" t="s">
        <v>2403</v>
      </c>
      <c r="E344" s="5">
        <v>5</v>
      </c>
      <c r="F344" s="4">
        <v>466.42</v>
      </c>
      <c r="G344" s="1" t="s">
        <v>2695</v>
      </c>
      <c r="H344" s="1" t="s">
        <v>3068</v>
      </c>
      <c r="I344" s="1" t="s">
        <v>3072</v>
      </c>
      <c r="J344" s="1" t="s">
        <v>3417</v>
      </c>
      <c r="K344" s="1">
        <v>5</v>
      </c>
      <c r="M344" s="1" t="s">
        <v>4279</v>
      </c>
      <c r="N344" s="1">
        <v>2332.1</v>
      </c>
      <c r="O344" s="1">
        <f>(ordersTable[[#This Row],[Quantity]]*ordersTable[[#This Row],[UnitPrice]])-ordersTable[[#This Row],[TotalPrice]]</f>
        <v>0</v>
      </c>
    </row>
    <row r="345" spans="1:15" x14ac:dyDescent="0.3">
      <c r="A345" s="1" t="s">
        <v>357</v>
      </c>
      <c r="B345" s="2">
        <v>44983</v>
      </c>
      <c r="C345" s="3" t="s">
        <v>1557</v>
      </c>
      <c r="D345" s="1" t="s">
        <v>2407</v>
      </c>
      <c r="E345" s="5">
        <v>1</v>
      </c>
      <c r="F345" s="4">
        <v>527.57000000000005</v>
      </c>
      <c r="G345" s="1" t="s">
        <v>2696</v>
      </c>
      <c r="H345" s="1" t="s">
        <v>3065</v>
      </c>
      <c r="I345" s="1" t="s">
        <v>3074</v>
      </c>
      <c r="J345" s="1" t="s">
        <v>3418</v>
      </c>
      <c r="K345" s="1">
        <v>3</v>
      </c>
      <c r="L345" s="1" t="s">
        <v>4276</v>
      </c>
      <c r="M345" s="1" t="s">
        <v>4281</v>
      </c>
      <c r="N345" s="1">
        <v>527.57000000000005</v>
      </c>
      <c r="O345" s="1">
        <f>(ordersTable[[#This Row],[Quantity]]*ordersTable[[#This Row],[UnitPrice]])-ordersTable[[#This Row],[TotalPrice]]</f>
        <v>0</v>
      </c>
    </row>
    <row r="346" spans="1:15" x14ac:dyDescent="0.3">
      <c r="A346" s="1" t="s">
        <v>358</v>
      </c>
      <c r="B346" s="2">
        <v>45722</v>
      </c>
      <c r="C346" s="3" t="s">
        <v>1558</v>
      </c>
      <c r="D346" s="1" t="s">
        <v>2405</v>
      </c>
      <c r="E346" s="5">
        <v>3</v>
      </c>
      <c r="F346" s="4">
        <v>623.34</v>
      </c>
      <c r="G346" s="1" t="s">
        <v>2697</v>
      </c>
      <c r="H346" s="1" t="s">
        <v>3066</v>
      </c>
      <c r="I346" s="1" t="s">
        <v>3071</v>
      </c>
      <c r="J346" s="1" t="s">
        <v>3419</v>
      </c>
      <c r="K346" s="1">
        <v>3</v>
      </c>
      <c r="L346" s="1" t="s">
        <v>4275</v>
      </c>
      <c r="M346" s="1" t="s">
        <v>4278</v>
      </c>
      <c r="N346" s="1">
        <v>1870.02</v>
      </c>
      <c r="O346" s="1">
        <f>(ordersTable[[#This Row],[Quantity]]*ordersTable[[#This Row],[UnitPrice]])-ordersTable[[#This Row],[TotalPrice]]</f>
        <v>0</v>
      </c>
    </row>
    <row r="347" spans="1:15" x14ac:dyDescent="0.3">
      <c r="A347" s="1" t="s">
        <v>359</v>
      </c>
      <c r="B347" s="2">
        <v>45267</v>
      </c>
      <c r="C347" s="3" t="s">
        <v>1559</v>
      </c>
      <c r="D347" s="1" t="s">
        <v>2405</v>
      </c>
      <c r="E347" s="5">
        <v>5</v>
      </c>
      <c r="F347" s="4">
        <v>501.26</v>
      </c>
      <c r="G347" s="1" t="s">
        <v>2698</v>
      </c>
      <c r="H347" s="1" t="s">
        <v>3068</v>
      </c>
      <c r="I347" s="1" t="s">
        <v>3070</v>
      </c>
      <c r="J347" s="1" t="s">
        <v>3420</v>
      </c>
      <c r="K347" s="1">
        <v>10</v>
      </c>
      <c r="L347" s="1" t="s">
        <v>4276</v>
      </c>
      <c r="M347" s="1" t="s">
        <v>4279</v>
      </c>
      <c r="N347" s="1">
        <v>2506.3000000000002</v>
      </c>
      <c r="O347" s="1">
        <f>(ordersTable[[#This Row],[Quantity]]*ordersTable[[#This Row],[UnitPrice]])-ordersTable[[#This Row],[TotalPrice]]</f>
        <v>0</v>
      </c>
    </row>
    <row r="348" spans="1:15" x14ac:dyDescent="0.3">
      <c r="A348" s="1" t="s">
        <v>360</v>
      </c>
      <c r="B348" s="2">
        <v>45632</v>
      </c>
      <c r="C348" s="3" t="s">
        <v>1560</v>
      </c>
      <c r="D348" s="1" t="s">
        <v>2405</v>
      </c>
      <c r="E348" s="5">
        <v>1</v>
      </c>
      <c r="F348" s="4">
        <v>655.09</v>
      </c>
      <c r="G348" s="1" t="s">
        <v>2699</v>
      </c>
      <c r="H348" s="1" t="s">
        <v>3069</v>
      </c>
      <c r="I348" s="1" t="s">
        <v>3074</v>
      </c>
      <c r="J348" s="1" t="s">
        <v>3421</v>
      </c>
      <c r="K348" s="1">
        <v>6</v>
      </c>
      <c r="M348" s="1" t="s">
        <v>4279</v>
      </c>
      <c r="N348" s="1">
        <v>655.09</v>
      </c>
      <c r="O348" s="1">
        <f>(ordersTable[[#This Row],[Quantity]]*ordersTable[[#This Row],[UnitPrice]])-ordersTable[[#This Row],[TotalPrice]]</f>
        <v>0</v>
      </c>
    </row>
    <row r="349" spans="1:15" x14ac:dyDescent="0.3">
      <c r="A349" s="1" t="s">
        <v>361</v>
      </c>
      <c r="B349" s="2">
        <v>45325</v>
      </c>
      <c r="C349" s="3" t="s">
        <v>1561</v>
      </c>
      <c r="D349" s="1" t="s">
        <v>2407</v>
      </c>
      <c r="E349" s="5">
        <v>4</v>
      </c>
      <c r="F349" s="4">
        <v>264.79000000000002</v>
      </c>
      <c r="G349" s="1" t="s">
        <v>2700</v>
      </c>
      <c r="H349" s="1" t="s">
        <v>3067</v>
      </c>
      <c r="I349" s="1" t="s">
        <v>3074</v>
      </c>
      <c r="J349" s="1" t="s">
        <v>3422</v>
      </c>
      <c r="K349" s="1">
        <v>5</v>
      </c>
      <c r="L349" s="1" t="s">
        <v>4275</v>
      </c>
      <c r="M349" s="1" t="s">
        <v>4282</v>
      </c>
      <c r="N349" s="1">
        <v>1059.1600000000001</v>
      </c>
      <c r="O349" s="1">
        <f>(ordersTable[[#This Row],[Quantity]]*ordersTable[[#This Row],[UnitPrice]])-ordersTable[[#This Row],[TotalPrice]]</f>
        <v>0</v>
      </c>
    </row>
    <row r="350" spans="1:15" x14ac:dyDescent="0.3">
      <c r="A350" s="1" t="s">
        <v>362</v>
      </c>
      <c r="B350" s="2">
        <v>45364</v>
      </c>
      <c r="C350" s="3" t="s">
        <v>1562</v>
      </c>
      <c r="D350" s="1" t="s">
        <v>2408</v>
      </c>
      <c r="E350" s="5">
        <v>3</v>
      </c>
      <c r="F350" s="4">
        <v>359.73</v>
      </c>
      <c r="G350" s="1" t="s">
        <v>2701</v>
      </c>
      <c r="H350" s="1" t="s">
        <v>3065</v>
      </c>
      <c r="I350" s="1" t="s">
        <v>3072</v>
      </c>
      <c r="J350" s="1" t="s">
        <v>3423</v>
      </c>
      <c r="K350" s="1">
        <v>7</v>
      </c>
      <c r="L350" s="1" t="s">
        <v>4276</v>
      </c>
      <c r="M350" s="1" t="s">
        <v>4280</v>
      </c>
      <c r="N350" s="1">
        <v>1079.19</v>
      </c>
      <c r="O350" s="1">
        <f>(ordersTable[[#This Row],[Quantity]]*ordersTable[[#This Row],[UnitPrice]])-ordersTable[[#This Row],[TotalPrice]]</f>
        <v>0</v>
      </c>
    </row>
    <row r="351" spans="1:15" x14ac:dyDescent="0.3">
      <c r="A351" s="1" t="s">
        <v>363</v>
      </c>
      <c r="B351" s="2">
        <v>45260</v>
      </c>
      <c r="C351" s="3" t="s">
        <v>1563</v>
      </c>
      <c r="D351" s="1" t="s">
        <v>2406</v>
      </c>
      <c r="E351" s="5">
        <v>1</v>
      </c>
      <c r="F351" s="4">
        <v>465.33</v>
      </c>
      <c r="G351" s="1" t="s">
        <v>2702</v>
      </c>
      <c r="H351" s="1" t="s">
        <v>3068</v>
      </c>
      <c r="I351" s="1" t="s">
        <v>3073</v>
      </c>
      <c r="J351" s="1" t="s">
        <v>3424</v>
      </c>
      <c r="K351" s="1">
        <v>2</v>
      </c>
      <c r="L351" s="1" t="s">
        <v>4276</v>
      </c>
      <c r="M351" s="1" t="s">
        <v>4282</v>
      </c>
      <c r="N351" s="1">
        <v>465.33</v>
      </c>
      <c r="O351" s="1">
        <f>(ordersTable[[#This Row],[Quantity]]*ordersTable[[#This Row],[UnitPrice]])-ordersTable[[#This Row],[TotalPrice]]</f>
        <v>0</v>
      </c>
    </row>
    <row r="352" spans="1:15" x14ac:dyDescent="0.3">
      <c r="A352" s="1" t="s">
        <v>364</v>
      </c>
      <c r="B352" s="2">
        <v>45080</v>
      </c>
      <c r="C352" s="3" t="s">
        <v>1564</v>
      </c>
      <c r="D352" s="1" t="s">
        <v>2406</v>
      </c>
      <c r="E352" s="5">
        <v>2</v>
      </c>
      <c r="F352" s="4">
        <v>54.41</v>
      </c>
      <c r="G352" s="1" t="s">
        <v>2703</v>
      </c>
      <c r="H352" s="1" t="s">
        <v>3066</v>
      </c>
      <c r="I352" s="1" t="s">
        <v>3070</v>
      </c>
      <c r="J352" s="1" t="s">
        <v>3425</v>
      </c>
      <c r="K352" s="1">
        <v>6</v>
      </c>
      <c r="M352" s="1" t="s">
        <v>4278</v>
      </c>
      <c r="N352" s="1">
        <v>108.82</v>
      </c>
      <c r="O352" s="1">
        <f>(ordersTable[[#This Row],[Quantity]]*ordersTable[[#This Row],[UnitPrice]])-ordersTable[[#This Row],[TotalPrice]]</f>
        <v>0</v>
      </c>
    </row>
    <row r="353" spans="1:15" x14ac:dyDescent="0.3">
      <c r="A353" s="1" t="s">
        <v>365</v>
      </c>
      <c r="B353" s="2">
        <v>45703</v>
      </c>
      <c r="C353" s="3" t="s">
        <v>1565</v>
      </c>
      <c r="D353" s="1" t="s">
        <v>2408</v>
      </c>
      <c r="E353" s="5">
        <v>1</v>
      </c>
      <c r="F353" s="4">
        <v>64.66</v>
      </c>
      <c r="G353" s="1" t="s">
        <v>2704</v>
      </c>
      <c r="H353" s="1" t="s">
        <v>3065</v>
      </c>
      <c r="I353" s="1" t="s">
        <v>3073</v>
      </c>
      <c r="J353" s="1" t="s">
        <v>3426</v>
      </c>
      <c r="K353" s="1">
        <v>4</v>
      </c>
      <c r="M353" s="1" t="s">
        <v>4278</v>
      </c>
      <c r="N353" s="1">
        <v>64.66</v>
      </c>
      <c r="O353" s="1">
        <f>(ordersTable[[#This Row],[Quantity]]*ordersTable[[#This Row],[UnitPrice]])-ordersTable[[#This Row],[TotalPrice]]</f>
        <v>0</v>
      </c>
    </row>
    <row r="354" spans="1:15" x14ac:dyDescent="0.3">
      <c r="A354" s="1" t="s">
        <v>366</v>
      </c>
      <c r="B354" s="2">
        <v>45169</v>
      </c>
      <c r="C354" s="3" t="s">
        <v>1566</v>
      </c>
      <c r="D354" s="1" t="s">
        <v>2406</v>
      </c>
      <c r="E354" s="5">
        <v>5</v>
      </c>
      <c r="F354" s="4">
        <v>173.96</v>
      </c>
      <c r="G354" s="1" t="s">
        <v>2705</v>
      </c>
      <c r="H354" s="1" t="s">
        <v>3065</v>
      </c>
      <c r="I354" s="1" t="s">
        <v>3074</v>
      </c>
      <c r="J354" s="1" t="s">
        <v>3427</v>
      </c>
      <c r="K354" s="1">
        <v>8</v>
      </c>
      <c r="L354" s="1" t="s">
        <v>4277</v>
      </c>
      <c r="M354" s="1" t="s">
        <v>4278</v>
      </c>
      <c r="N354" s="1">
        <v>869.80000000000007</v>
      </c>
      <c r="O354" s="1">
        <f>(ordersTable[[#This Row],[Quantity]]*ordersTable[[#This Row],[UnitPrice]])-ordersTable[[#This Row],[TotalPrice]]</f>
        <v>0</v>
      </c>
    </row>
    <row r="355" spans="1:15" x14ac:dyDescent="0.3">
      <c r="A355" s="1" t="s">
        <v>367</v>
      </c>
      <c r="B355" s="2">
        <v>45744</v>
      </c>
      <c r="C355" s="3" t="s">
        <v>1567</v>
      </c>
      <c r="D355" s="1" t="s">
        <v>2405</v>
      </c>
      <c r="E355" s="5">
        <v>1</v>
      </c>
      <c r="F355" s="4">
        <v>630.82000000000005</v>
      </c>
      <c r="G355" s="1" t="s">
        <v>2706</v>
      </c>
      <c r="H355" s="1" t="s">
        <v>3066</v>
      </c>
      <c r="I355" s="1" t="s">
        <v>3073</v>
      </c>
      <c r="J355" s="1" t="s">
        <v>3428</v>
      </c>
      <c r="K355" s="1">
        <v>5</v>
      </c>
      <c r="L355" s="1" t="s">
        <v>4276</v>
      </c>
      <c r="M355" s="1" t="s">
        <v>4282</v>
      </c>
      <c r="N355" s="1">
        <v>630.82000000000005</v>
      </c>
      <c r="O355" s="1">
        <f>(ordersTable[[#This Row],[Quantity]]*ordersTable[[#This Row],[UnitPrice]])-ordersTable[[#This Row],[TotalPrice]]</f>
        <v>0</v>
      </c>
    </row>
    <row r="356" spans="1:15" x14ac:dyDescent="0.3">
      <c r="A356" s="1" t="s">
        <v>368</v>
      </c>
      <c r="B356" s="2">
        <v>45118</v>
      </c>
      <c r="C356" s="3" t="s">
        <v>1568</v>
      </c>
      <c r="D356" s="1" t="s">
        <v>2404</v>
      </c>
      <c r="E356" s="5">
        <v>1</v>
      </c>
      <c r="F356" s="4">
        <v>693.41</v>
      </c>
      <c r="G356" s="1" t="s">
        <v>2707</v>
      </c>
      <c r="H356" s="1" t="s">
        <v>3065</v>
      </c>
      <c r="I356" s="1" t="s">
        <v>3070</v>
      </c>
      <c r="J356" s="1" t="s">
        <v>3429</v>
      </c>
      <c r="K356" s="1">
        <v>4</v>
      </c>
      <c r="M356" s="1" t="s">
        <v>4278</v>
      </c>
      <c r="N356" s="1">
        <v>693.41</v>
      </c>
      <c r="O356" s="1">
        <f>(ordersTable[[#This Row],[Quantity]]*ordersTable[[#This Row],[UnitPrice]])-ordersTable[[#This Row],[TotalPrice]]</f>
        <v>0</v>
      </c>
    </row>
    <row r="357" spans="1:15" x14ac:dyDescent="0.3">
      <c r="A357" s="1" t="s">
        <v>369</v>
      </c>
      <c r="B357" s="2">
        <v>45811</v>
      </c>
      <c r="C357" s="3" t="s">
        <v>1569</v>
      </c>
      <c r="D357" s="1" t="s">
        <v>2405</v>
      </c>
      <c r="E357" s="5">
        <v>3</v>
      </c>
      <c r="F357" s="4">
        <v>433.33</v>
      </c>
      <c r="G357" s="1" t="s">
        <v>2708</v>
      </c>
      <c r="H357" s="1" t="s">
        <v>3067</v>
      </c>
      <c r="I357" s="1" t="s">
        <v>3071</v>
      </c>
      <c r="J357" s="1" t="s">
        <v>3430</v>
      </c>
      <c r="K357" s="1">
        <v>4</v>
      </c>
      <c r="L357" s="1" t="s">
        <v>4276</v>
      </c>
      <c r="M357" s="1" t="s">
        <v>4279</v>
      </c>
      <c r="N357" s="1">
        <v>1299.99</v>
      </c>
      <c r="O357" s="1">
        <f>(ordersTable[[#This Row],[Quantity]]*ordersTable[[#This Row],[UnitPrice]])-ordersTable[[#This Row],[TotalPrice]]</f>
        <v>0</v>
      </c>
    </row>
    <row r="358" spans="1:15" x14ac:dyDescent="0.3">
      <c r="A358" s="1" t="s">
        <v>370</v>
      </c>
      <c r="B358" s="2">
        <v>45052</v>
      </c>
      <c r="C358" s="3" t="s">
        <v>1570</v>
      </c>
      <c r="D358" s="1" t="s">
        <v>2407</v>
      </c>
      <c r="E358" s="5">
        <v>5</v>
      </c>
      <c r="F358" s="4">
        <v>374.58</v>
      </c>
      <c r="G358" s="1" t="s">
        <v>2709</v>
      </c>
      <c r="H358" s="1" t="s">
        <v>3068</v>
      </c>
      <c r="I358" s="1" t="s">
        <v>3071</v>
      </c>
      <c r="J358" s="1" t="s">
        <v>3431</v>
      </c>
      <c r="K358" s="1">
        <v>10</v>
      </c>
      <c r="L358" s="1" t="s">
        <v>4276</v>
      </c>
      <c r="M358" s="1" t="s">
        <v>4278</v>
      </c>
      <c r="N358" s="1">
        <v>1872.9</v>
      </c>
      <c r="O358" s="1">
        <f>(ordersTable[[#This Row],[Quantity]]*ordersTable[[#This Row],[UnitPrice]])-ordersTable[[#This Row],[TotalPrice]]</f>
        <v>0</v>
      </c>
    </row>
    <row r="359" spans="1:15" x14ac:dyDescent="0.3">
      <c r="A359" s="1" t="s">
        <v>371</v>
      </c>
      <c r="B359" s="2">
        <v>45115</v>
      </c>
      <c r="C359" s="3" t="s">
        <v>1571</v>
      </c>
      <c r="D359" s="1" t="s">
        <v>2408</v>
      </c>
      <c r="E359" s="5">
        <v>5</v>
      </c>
      <c r="F359" s="4">
        <v>408.56</v>
      </c>
      <c r="G359" s="1" t="s">
        <v>2692</v>
      </c>
      <c r="H359" s="1" t="s">
        <v>3065</v>
      </c>
      <c r="I359" s="1" t="s">
        <v>3073</v>
      </c>
      <c r="J359" s="1" t="s">
        <v>3432</v>
      </c>
      <c r="K359" s="1">
        <v>8</v>
      </c>
      <c r="L359" s="1" t="s">
        <v>4276</v>
      </c>
      <c r="M359" s="1" t="s">
        <v>4278</v>
      </c>
      <c r="N359" s="1">
        <v>2042.8</v>
      </c>
      <c r="O359" s="1">
        <f>(ordersTable[[#This Row],[Quantity]]*ordersTable[[#This Row],[UnitPrice]])-ordersTable[[#This Row],[TotalPrice]]</f>
        <v>0</v>
      </c>
    </row>
    <row r="360" spans="1:15" x14ac:dyDescent="0.3">
      <c r="A360" s="1" t="s">
        <v>372</v>
      </c>
      <c r="B360" s="2">
        <v>45389</v>
      </c>
      <c r="C360" s="3" t="s">
        <v>1572</v>
      </c>
      <c r="D360" s="1" t="s">
        <v>2405</v>
      </c>
      <c r="E360" s="5">
        <v>2</v>
      </c>
      <c r="F360" s="4">
        <v>183.67</v>
      </c>
      <c r="G360" s="1" t="s">
        <v>2710</v>
      </c>
      <c r="H360" s="1" t="s">
        <v>3066</v>
      </c>
      <c r="I360" s="1" t="s">
        <v>3071</v>
      </c>
      <c r="J360" s="1" t="s">
        <v>3433</v>
      </c>
      <c r="K360" s="1">
        <v>3</v>
      </c>
      <c r="L360" s="1" t="s">
        <v>4275</v>
      </c>
      <c r="M360" s="1" t="s">
        <v>4282</v>
      </c>
      <c r="N360" s="1">
        <v>367.34</v>
      </c>
      <c r="O360" s="1">
        <f>(ordersTable[[#This Row],[Quantity]]*ordersTable[[#This Row],[UnitPrice]])-ordersTable[[#This Row],[TotalPrice]]</f>
        <v>0</v>
      </c>
    </row>
    <row r="361" spans="1:15" x14ac:dyDescent="0.3">
      <c r="A361" s="1" t="s">
        <v>373</v>
      </c>
      <c r="B361" s="2">
        <v>45086</v>
      </c>
      <c r="C361" s="3" t="s">
        <v>1573</v>
      </c>
      <c r="D361" s="1" t="s">
        <v>2409</v>
      </c>
      <c r="E361" s="5">
        <v>4</v>
      </c>
      <c r="F361" s="4">
        <v>606.57000000000005</v>
      </c>
      <c r="G361" s="1" t="s">
        <v>2711</v>
      </c>
      <c r="H361" s="1" t="s">
        <v>3065</v>
      </c>
      <c r="I361" s="1" t="s">
        <v>3073</v>
      </c>
      <c r="J361" s="1" t="s">
        <v>3434</v>
      </c>
      <c r="K361" s="1">
        <v>5</v>
      </c>
      <c r="L361" s="1" t="s">
        <v>4277</v>
      </c>
      <c r="M361" s="1" t="s">
        <v>4279</v>
      </c>
      <c r="N361" s="1">
        <v>2426.2800000000002</v>
      </c>
      <c r="O361" s="1">
        <f>(ordersTable[[#This Row],[Quantity]]*ordersTable[[#This Row],[UnitPrice]])-ordersTable[[#This Row],[TotalPrice]]</f>
        <v>0</v>
      </c>
    </row>
    <row r="362" spans="1:15" x14ac:dyDescent="0.3">
      <c r="A362" s="1" t="s">
        <v>374</v>
      </c>
      <c r="B362" s="2">
        <v>45449</v>
      </c>
      <c r="C362" s="3" t="s">
        <v>1574</v>
      </c>
      <c r="D362" s="1" t="s">
        <v>2404</v>
      </c>
      <c r="E362" s="5">
        <v>4</v>
      </c>
      <c r="F362" s="4">
        <v>589.57000000000005</v>
      </c>
      <c r="G362" s="1" t="s">
        <v>2712</v>
      </c>
      <c r="H362" s="1" t="s">
        <v>3069</v>
      </c>
      <c r="I362" s="1" t="s">
        <v>3074</v>
      </c>
      <c r="J362" s="1" t="s">
        <v>3435</v>
      </c>
      <c r="K362" s="1">
        <v>8</v>
      </c>
      <c r="M362" s="1" t="s">
        <v>4278</v>
      </c>
      <c r="N362" s="1">
        <v>2358.2800000000002</v>
      </c>
      <c r="O362" s="1">
        <f>(ordersTable[[#This Row],[Quantity]]*ordersTable[[#This Row],[UnitPrice]])-ordersTable[[#This Row],[TotalPrice]]</f>
        <v>0</v>
      </c>
    </row>
    <row r="363" spans="1:15" x14ac:dyDescent="0.3">
      <c r="A363" s="1" t="s">
        <v>375</v>
      </c>
      <c r="B363" s="2">
        <v>45472</v>
      </c>
      <c r="C363" s="3" t="s">
        <v>1575</v>
      </c>
      <c r="D363" s="1" t="s">
        <v>2407</v>
      </c>
      <c r="E363" s="5">
        <v>5</v>
      </c>
      <c r="F363" s="4">
        <v>659.85</v>
      </c>
      <c r="G363" s="1" t="s">
        <v>2713</v>
      </c>
      <c r="H363" s="1" t="s">
        <v>3067</v>
      </c>
      <c r="I363" s="1" t="s">
        <v>3073</v>
      </c>
      <c r="J363" s="1" t="s">
        <v>3436</v>
      </c>
      <c r="K363" s="1">
        <v>9</v>
      </c>
      <c r="L363" s="1" t="s">
        <v>4275</v>
      </c>
      <c r="M363" s="1" t="s">
        <v>4281</v>
      </c>
      <c r="N363" s="1">
        <v>3299.25</v>
      </c>
      <c r="O363" s="1">
        <f>(ordersTable[[#This Row],[Quantity]]*ordersTable[[#This Row],[UnitPrice]])-ordersTable[[#This Row],[TotalPrice]]</f>
        <v>0</v>
      </c>
    </row>
    <row r="364" spans="1:15" x14ac:dyDescent="0.3">
      <c r="A364" s="1" t="s">
        <v>376</v>
      </c>
      <c r="B364" s="2">
        <v>45104</v>
      </c>
      <c r="C364" s="3" t="s">
        <v>1576</v>
      </c>
      <c r="D364" s="1" t="s">
        <v>2403</v>
      </c>
      <c r="E364" s="5">
        <v>4</v>
      </c>
      <c r="F364" s="4">
        <v>206.84</v>
      </c>
      <c r="G364" s="1" t="s">
        <v>2714</v>
      </c>
      <c r="H364" s="1" t="s">
        <v>3069</v>
      </c>
      <c r="I364" s="1" t="s">
        <v>3071</v>
      </c>
      <c r="J364" s="1" t="s">
        <v>3437</v>
      </c>
      <c r="K364" s="1">
        <v>5</v>
      </c>
      <c r="L364" s="1" t="s">
        <v>4277</v>
      </c>
      <c r="M364" s="1" t="s">
        <v>4278</v>
      </c>
      <c r="N364" s="1">
        <v>827.36</v>
      </c>
      <c r="O364" s="1">
        <f>(ordersTable[[#This Row],[Quantity]]*ordersTable[[#This Row],[UnitPrice]])-ordersTable[[#This Row],[TotalPrice]]</f>
        <v>0</v>
      </c>
    </row>
    <row r="365" spans="1:15" x14ac:dyDescent="0.3">
      <c r="A365" s="1" t="s">
        <v>377</v>
      </c>
      <c r="B365" s="2">
        <v>45436</v>
      </c>
      <c r="C365" s="3" t="s">
        <v>1577</v>
      </c>
      <c r="D365" s="1" t="s">
        <v>2408</v>
      </c>
      <c r="E365" s="5">
        <v>5</v>
      </c>
      <c r="F365" s="4">
        <v>113.87</v>
      </c>
      <c r="G365" s="1" t="s">
        <v>2452</v>
      </c>
      <c r="H365" s="1" t="s">
        <v>3067</v>
      </c>
      <c r="I365" s="1" t="s">
        <v>3074</v>
      </c>
      <c r="J365" s="1" t="s">
        <v>3438</v>
      </c>
      <c r="K365" s="1">
        <v>6</v>
      </c>
      <c r="L365" s="1" t="s">
        <v>4275</v>
      </c>
      <c r="M365" s="1" t="s">
        <v>4280</v>
      </c>
      <c r="N365" s="1">
        <v>569.35</v>
      </c>
      <c r="O365" s="1">
        <f>(ordersTable[[#This Row],[Quantity]]*ordersTable[[#This Row],[UnitPrice]])-ordersTable[[#This Row],[TotalPrice]]</f>
        <v>0</v>
      </c>
    </row>
    <row r="366" spans="1:15" x14ac:dyDescent="0.3">
      <c r="A366" s="1" t="s">
        <v>378</v>
      </c>
      <c r="B366" s="2">
        <v>45254</v>
      </c>
      <c r="C366" s="3" t="s">
        <v>1578</v>
      </c>
      <c r="D366" s="1" t="s">
        <v>2404</v>
      </c>
      <c r="E366" s="5">
        <v>5</v>
      </c>
      <c r="F366" s="4">
        <v>628.74</v>
      </c>
      <c r="G366" s="1" t="s">
        <v>2650</v>
      </c>
      <c r="H366" s="1" t="s">
        <v>3069</v>
      </c>
      <c r="I366" s="1" t="s">
        <v>3071</v>
      </c>
      <c r="J366" s="1" t="s">
        <v>3439</v>
      </c>
      <c r="K366" s="1">
        <v>9</v>
      </c>
      <c r="L366" s="1" t="s">
        <v>4276</v>
      </c>
      <c r="M366" s="1" t="s">
        <v>4281</v>
      </c>
      <c r="N366" s="1">
        <v>3143.7</v>
      </c>
      <c r="O366" s="1">
        <f>(ordersTable[[#This Row],[Quantity]]*ordersTable[[#This Row],[UnitPrice]])-ordersTable[[#This Row],[TotalPrice]]</f>
        <v>0</v>
      </c>
    </row>
    <row r="367" spans="1:15" x14ac:dyDescent="0.3">
      <c r="A367" s="1" t="s">
        <v>379</v>
      </c>
      <c r="B367" s="2">
        <v>45702</v>
      </c>
      <c r="C367" s="3" t="s">
        <v>1579</v>
      </c>
      <c r="D367" s="1" t="s">
        <v>2404</v>
      </c>
      <c r="E367" s="5">
        <v>1</v>
      </c>
      <c r="F367" s="4">
        <v>678.38</v>
      </c>
      <c r="G367" s="1" t="s">
        <v>2686</v>
      </c>
      <c r="H367" s="1" t="s">
        <v>3067</v>
      </c>
      <c r="I367" s="1" t="s">
        <v>3071</v>
      </c>
      <c r="J367" s="1" t="s">
        <v>3440</v>
      </c>
      <c r="K367" s="1">
        <v>4</v>
      </c>
      <c r="L367" s="1" t="s">
        <v>4275</v>
      </c>
      <c r="M367" s="1" t="s">
        <v>4279</v>
      </c>
      <c r="N367" s="1">
        <v>678.38</v>
      </c>
      <c r="O367" s="1">
        <f>(ordersTable[[#This Row],[Quantity]]*ordersTable[[#This Row],[UnitPrice]])-ordersTable[[#This Row],[TotalPrice]]</f>
        <v>0</v>
      </c>
    </row>
    <row r="368" spans="1:15" x14ac:dyDescent="0.3">
      <c r="A368" s="1" t="s">
        <v>380</v>
      </c>
      <c r="B368" s="2">
        <v>44967</v>
      </c>
      <c r="C368" s="3" t="s">
        <v>1580</v>
      </c>
      <c r="D368" s="1" t="s">
        <v>2407</v>
      </c>
      <c r="E368" s="5">
        <v>3</v>
      </c>
      <c r="F368" s="4">
        <v>602.24</v>
      </c>
      <c r="G368" s="1" t="s">
        <v>2715</v>
      </c>
      <c r="H368" s="1" t="s">
        <v>3065</v>
      </c>
      <c r="I368" s="1" t="s">
        <v>3074</v>
      </c>
      <c r="J368" s="1" t="s">
        <v>3441</v>
      </c>
      <c r="K368" s="1">
        <v>8</v>
      </c>
      <c r="M368" s="1" t="s">
        <v>4279</v>
      </c>
      <c r="N368" s="1">
        <v>1806.72</v>
      </c>
      <c r="O368" s="1">
        <f>(ordersTable[[#This Row],[Quantity]]*ordersTable[[#This Row],[UnitPrice]])-ordersTable[[#This Row],[TotalPrice]]</f>
        <v>0</v>
      </c>
    </row>
    <row r="369" spans="1:15" x14ac:dyDescent="0.3">
      <c r="A369" s="1" t="s">
        <v>381</v>
      </c>
      <c r="B369" s="2">
        <v>45407</v>
      </c>
      <c r="C369" s="3" t="s">
        <v>1581</v>
      </c>
      <c r="D369" s="1" t="s">
        <v>2408</v>
      </c>
      <c r="E369" s="5">
        <v>5</v>
      </c>
      <c r="F369" s="4">
        <v>658.77</v>
      </c>
      <c r="G369" s="1" t="s">
        <v>2630</v>
      </c>
      <c r="H369" s="1" t="s">
        <v>3068</v>
      </c>
      <c r="I369" s="1" t="s">
        <v>3074</v>
      </c>
      <c r="J369" s="1" t="s">
        <v>3442</v>
      </c>
      <c r="K369" s="1">
        <v>10</v>
      </c>
      <c r="L369" s="1" t="s">
        <v>4276</v>
      </c>
      <c r="M369" s="1" t="s">
        <v>4278</v>
      </c>
      <c r="N369" s="1">
        <v>3293.85</v>
      </c>
      <c r="O369" s="1">
        <f>(ordersTable[[#This Row],[Quantity]]*ordersTable[[#This Row],[UnitPrice]])-ordersTable[[#This Row],[TotalPrice]]</f>
        <v>0</v>
      </c>
    </row>
    <row r="370" spans="1:15" x14ac:dyDescent="0.3">
      <c r="A370" s="1" t="s">
        <v>382</v>
      </c>
      <c r="B370" s="2">
        <v>45047</v>
      </c>
      <c r="C370" s="3" t="s">
        <v>1582</v>
      </c>
      <c r="D370" s="1" t="s">
        <v>2403</v>
      </c>
      <c r="E370" s="5">
        <v>3</v>
      </c>
      <c r="F370" s="4">
        <v>271.02</v>
      </c>
      <c r="G370" s="1" t="s">
        <v>2716</v>
      </c>
      <c r="H370" s="1" t="s">
        <v>3067</v>
      </c>
      <c r="I370" s="1" t="s">
        <v>3071</v>
      </c>
      <c r="J370" s="1" t="s">
        <v>3443</v>
      </c>
      <c r="K370" s="1">
        <v>6</v>
      </c>
      <c r="M370" s="1" t="s">
        <v>4282</v>
      </c>
      <c r="N370" s="1">
        <v>813.06</v>
      </c>
      <c r="O370" s="1">
        <f>(ordersTable[[#This Row],[Quantity]]*ordersTable[[#This Row],[UnitPrice]])-ordersTable[[#This Row],[TotalPrice]]</f>
        <v>0</v>
      </c>
    </row>
    <row r="371" spans="1:15" x14ac:dyDescent="0.3">
      <c r="A371" s="1" t="s">
        <v>383</v>
      </c>
      <c r="B371" s="2">
        <v>45648</v>
      </c>
      <c r="C371" s="3" t="s">
        <v>1583</v>
      </c>
      <c r="D371" s="1" t="s">
        <v>2403</v>
      </c>
      <c r="E371" s="5">
        <v>5</v>
      </c>
      <c r="F371" s="4">
        <v>375.25</v>
      </c>
      <c r="G371" s="1" t="s">
        <v>2717</v>
      </c>
      <c r="H371" s="1" t="s">
        <v>3068</v>
      </c>
      <c r="I371" s="1" t="s">
        <v>3074</v>
      </c>
      <c r="J371" s="1" t="s">
        <v>3444</v>
      </c>
      <c r="K371" s="1">
        <v>9</v>
      </c>
      <c r="L371" s="1" t="s">
        <v>4275</v>
      </c>
      <c r="M371" s="1" t="s">
        <v>4280</v>
      </c>
      <c r="N371" s="1">
        <v>1876.25</v>
      </c>
      <c r="O371" s="1">
        <f>(ordersTable[[#This Row],[Quantity]]*ordersTable[[#This Row],[UnitPrice]])-ordersTable[[#This Row],[TotalPrice]]</f>
        <v>0</v>
      </c>
    </row>
    <row r="372" spans="1:15" x14ac:dyDescent="0.3">
      <c r="A372" s="1" t="s">
        <v>384</v>
      </c>
      <c r="B372" s="2">
        <v>45780</v>
      </c>
      <c r="C372" s="3" t="s">
        <v>1584</v>
      </c>
      <c r="D372" s="1" t="s">
        <v>2404</v>
      </c>
      <c r="E372" s="5">
        <v>1</v>
      </c>
      <c r="F372" s="4">
        <v>312.11</v>
      </c>
      <c r="G372" s="1" t="s">
        <v>2718</v>
      </c>
      <c r="H372" s="1" t="s">
        <v>3066</v>
      </c>
      <c r="I372" s="1" t="s">
        <v>3071</v>
      </c>
      <c r="J372" s="1" t="s">
        <v>3445</v>
      </c>
      <c r="K372" s="1">
        <v>4</v>
      </c>
      <c r="L372" s="1" t="s">
        <v>4277</v>
      </c>
      <c r="M372" s="1" t="s">
        <v>4281</v>
      </c>
      <c r="N372" s="1">
        <v>312.11</v>
      </c>
      <c r="O372" s="1">
        <f>(ordersTable[[#This Row],[Quantity]]*ordersTable[[#This Row],[UnitPrice]])-ordersTable[[#This Row],[TotalPrice]]</f>
        <v>0</v>
      </c>
    </row>
    <row r="373" spans="1:15" x14ac:dyDescent="0.3">
      <c r="A373" s="1" t="s">
        <v>385</v>
      </c>
      <c r="B373" s="2">
        <v>44931</v>
      </c>
      <c r="C373" s="3" t="s">
        <v>1585</v>
      </c>
      <c r="D373" s="1" t="s">
        <v>2404</v>
      </c>
      <c r="E373" s="5">
        <v>5</v>
      </c>
      <c r="F373" s="4">
        <v>307.76</v>
      </c>
      <c r="G373" s="1" t="s">
        <v>2422</v>
      </c>
      <c r="H373" s="1" t="s">
        <v>3068</v>
      </c>
      <c r="I373" s="1" t="s">
        <v>3074</v>
      </c>
      <c r="J373" s="1" t="s">
        <v>3446</v>
      </c>
      <c r="K373" s="1">
        <v>9</v>
      </c>
      <c r="L373" s="1" t="s">
        <v>4276</v>
      </c>
      <c r="M373" s="1" t="s">
        <v>4282</v>
      </c>
      <c r="N373" s="1">
        <v>1538.8</v>
      </c>
      <c r="O373" s="1">
        <f>(ordersTable[[#This Row],[Quantity]]*ordersTable[[#This Row],[UnitPrice]])-ordersTable[[#This Row],[TotalPrice]]</f>
        <v>0</v>
      </c>
    </row>
    <row r="374" spans="1:15" x14ac:dyDescent="0.3">
      <c r="A374" s="1" t="s">
        <v>386</v>
      </c>
      <c r="B374" s="2">
        <v>45702</v>
      </c>
      <c r="C374" s="3" t="s">
        <v>1586</v>
      </c>
      <c r="D374" s="1" t="s">
        <v>2406</v>
      </c>
      <c r="E374" s="5">
        <v>3</v>
      </c>
      <c r="F374" s="4">
        <v>483.53</v>
      </c>
      <c r="G374" s="1" t="s">
        <v>2719</v>
      </c>
      <c r="H374" s="1" t="s">
        <v>3069</v>
      </c>
      <c r="I374" s="1" t="s">
        <v>3072</v>
      </c>
      <c r="J374" s="1" t="s">
        <v>3447</v>
      </c>
      <c r="K374" s="1">
        <v>4</v>
      </c>
      <c r="M374" s="1" t="s">
        <v>4279</v>
      </c>
      <c r="N374" s="1">
        <v>1450.59</v>
      </c>
      <c r="O374" s="1">
        <f>(ordersTable[[#This Row],[Quantity]]*ordersTable[[#This Row],[UnitPrice]])-ordersTable[[#This Row],[TotalPrice]]</f>
        <v>0</v>
      </c>
    </row>
    <row r="375" spans="1:15" x14ac:dyDescent="0.3">
      <c r="A375" s="1" t="s">
        <v>387</v>
      </c>
      <c r="B375" s="2">
        <v>44928</v>
      </c>
      <c r="C375" s="3" t="s">
        <v>1587</v>
      </c>
      <c r="D375" s="1" t="s">
        <v>2408</v>
      </c>
      <c r="E375" s="5">
        <v>3</v>
      </c>
      <c r="F375" s="4">
        <v>341.15</v>
      </c>
      <c r="G375" s="1" t="s">
        <v>2720</v>
      </c>
      <c r="H375" s="1" t="s">
        <v>3069</v>
      </c>
      <c r="I375" s="1" t="s">
        <v>3074</v>
      </c>
      <c r="J375" s="1" t="s">
        <v>3448</v>
      </c>
      <c r="K375" s="1">
        <v>4</v>
      </c>
      <c r="L375" s="1" t="s">
        <v>4276</v>
      </c>
      <c r="M375" s="1" t="s">
        <v>4278</v>
      </c>
      <c r="N375" s="1">
        <v>1023.45</v>
      </c>
      <c r="O375" s="1">
        <f>(ordersTable[[#This Row],[Quantity]]*ordersTable[[#This Row],[UnitPrice]])-ordersTable[[#This Row],[TotalPrice]]</f>
        <v>0</v>
      </c>
    </row>
    <row r="376" spans="1:15" x14ac:dyDescent="0.3">
      <c r="A376" s="1" t="s">
        <v>388</v>
      </c>
      <c r="B376" s="2">
        <v>45551</v>
      </c>
      <c r="C376" s="3" t="s">
        <v>1588</v>
      </c>
      <c r="D376" s="1" t="s">
        <v>2403</v>
      </c>
      <c r="E376" s="5">
        <v>1</v>
      </c>
      <c r="F376" s="4">
        <v>571.9</v>
      </c>
      <c r="G376" s="1" t="s">
        <v>2477</v>
      </c>
      <c r="H376" s="1" t="s">
        <v>3068</v>
      </c>
      <c r="I376" s="1" t="s">
        <v>3074</v>
      </c>
      <c r="J376" s="1" t="s">
        <v>3449</v>
      </c>
      <c r="K376" s="1">
        <v>1</v>
      </c>
      <c r="L376" s="1" t="s">
        <v>4277</v>
      </c>
      <c r="M376" s="1" t="s">
        <v>4278</v>
      </c>
      <c r="N376" s="1">
        <v>571.9</v>
      </c>
      <c r="O376" s="1">
        <f>(ordersTable[[#This Row],[Quantity]]*ordersTable[[#This Row],[UnitPrice]])-ordersTable[[#This Row],[TotalPrice]]</f>
        <v>0</v>
      </c>
    </row>
    <row r="377" spans="1:15" x14ac:dyDescent="0.3">
      <c r="A377" s="1" t="s">
        <v>389</v>
      </c>
      <c r="B377" s="2">
        <v>45673</v>
      </c>
      <c r="C377" s="3" t="s">
        <v>1589</v>
      </c>
      <c r="D377" s="1" t="s">
        <v>2403</v>
      </c>
      <c r="E377" s="5">
        <v>4</v>
      </c>
      <c r="F377" s="4">
        <v>95.03</v>
      </c>
      <c r="G377" s="1" t="s">
        <v>2721</v>
      </c>
      <c r="H377" s="1" t="s">
        <v>3066</v>
      </c>
      <c r="I377" s="1" t="s">
        <v>3070</v>
      </c>
      <c r="J377" s="1" t="s">
        <v>3450</v>
      </c>
      <c r="K377" s="1">
        <v>8</v>
      </c>
      <c r="L377" s="1" t="s">
        <v>4276</v>
      </c>
      <c r="M377" s="1" t="s">
        <v>4281</v>
      </c>
      <c r="N377" s="1">
        <v>380.12</v>
      </c>
      <c r="O377" s="1">
        <f>(ordersTable[[#This Row],[Quantity]]*ordersTable[[#This Row],[UnitPrice]])-ordersTable[[#This Row],[TotalPrice]]</f>
        <v>0</v>
      </c>
    </row>
    <row r="378" spans="1:15" x14ac:dyDescent="0.3">
      <c r="A378" s="1" t="s">
        <v>390</v>
      </c>
      <c r="B378" s="2">
        <v>45162</v>
      </c>
      <c r="C378" s="3" t="s">
        <v>1590</v>
      </c>
      <c r="D378" s="1" t="s">
        <v>2403</v>
      </c>
      <c r="E378" s="5">
        <v>5</v>
      </c>
      <c r="F378" s="4">
        <v>201.22</v>
      </c>
      <c r="G378" s="1" t="s">
        <v>2722</v>
      </c>
      <c r="H378" s="1" t="s">
        <v>3065</v>
      </c>
      <c r="I378" s="1" t="s">
        <v>3074</v>
      </c>
      <c r="J378" s="1" t="s">
        <v>3451</v>
      </c>
      <c r="K378" s="1">
        <v>6</v>
      </c>
      <c r="L378" s="1" t="s">
        <v>4276</v>
      </c>
      <c r="M378" s="1" t="s">
        <v>4281</v>
      </c>
      <c r="N378" s="1">
        <v>1006.1</v>
      </c>
      <c r="O378" s="1">
        <f>(ordersTable[[#This Row],[Quantity]]*ordersTable[[#This Row],[UnitPrice]])-ordersTable[[#This Row],[TotalPrice]]</f>
        <v>0</v>
      </c>
    </row>
    <row r="379" spans="1:15" x14ac:dyDescent="0.3">
      <c r="A379" s="1" t="s">
        <v>391</v>
      </c>
      <c r="B379" s="2">
        <v>45495</v>
      </c>
      <c r="C379" s="3" t="s">
        <v>1591</v>
      </c>
      <c r="D379" s="1" t="s">
        <v>2403</v>
      </c>
      <c r="E379" s="5">
        <v>1</v>
      </c>
      <c r="F379" s="4">
        <v>260.26</v>
      </c>
      <c r="G379" s="1" t="s">
        <v>2671</v>
      </c>
      <c r="H379" s="1" t="s">
        <v>3066</v>
      </c>
      <c r="I379" s="1" t="s">
        <v>3074</v>
      </c>
      <c r="J379" s="1" t="s">
        <v>3452</v>
      </c>
      <c r="K379" s="1">
        <v>5</v>
      </c>
      <c r="L379" s="1" t="s">
        <v>4277</v>
      </c>
      <c r="M379" s="1" t="s">
        <v>4278</v>
      </c>
      <c r="N379" s="1">
        <v>260.26</v>
      </c>
      <c r="O379" s="1">
        <f>(ordersTable[[#This Row],[Quantity]]*ordersTable[[#This Row],[UnitPrice]])-ordersTable[[#This Row],[TotalPrice]]</f>
        <v>0</v>
      </c>
    </row>
    <row r="380" spans="1:15" x14ac:dyDescent="0.3">
      <c r="A380" s="1" t="s">
        <v>392</v>
      </c>
      <c r="B380" s="2">
        <v>45323</v>
      </c>
      <c r="C380" s="3" t="s">
        <v>1592</v>
      </c>
      <c r="D380" s="1" t="s">
        <v>2406</v>
      </c>
      <c r="E380" s="5">
        <v>5</v>
      </c>
      <c r="F380" s="4">
        <v>64.5</v>
      </c>
      <c r="G380" s="1" t="s">
        <v>2723</v>
      </c>
      <c r="H380" s="1" t="s">
        <v>3067</v>
      </c>
      <c r="I380" s="1" t="s">
        <v>3074</v>
      </c>
      <c r="J380" s="1" t="s">
        <v>3453</v>
      </c>
      <c r="K380" s="1">
        <v>8</v>
      </c>
      <c r="L380" s="1" t="s">
        <v>4277</v>
      </c>
      <c r="M380" s="1" t="s">
        <v>4278</v>
      </c>
      <c r="N380" s="1">
        <v>322.5</v>
      </c>
      <c r="O380" s="1">
        <f>(ordersTable[[#This Row],[Quantity]]*ordersTable[[#This Row],[UnitPrice]])-ordersTable[[#This Row],[TotalPrice]]</f>
        <v>0</v>
      </c>
    </row>
    <row r="381" spans="1:15" x14ac:dyDescent="0.3">
      <c r="A381" s="1" t="s">
        <v>393</v>
      </c>
      <c r="B381" s="2">
        <v>45556</v>
      </c>
      <c r="C381" s="3" t="s">
        <v>1593</v>
      </c>
      <c r="D381" s="1" t="s">
        <v>2404</v>
      </c>
      <c r="E381" s="5">
        <v>3</v>
      </c>
      <c r="F381" s="4">
        <v>297.67</v>
      </c>
      <c r="G381" s="1" t="s">
        <v>2571</v>
      </c>
      <c r="H381" s="1" t="s">
        <v>3066</v>
      </c>
      <c r="I381" s="1" t="s">
        <v>3070</v>
      </c>
      <c r="J381" s="1" t="s">
        <v>3454</v>
      </c>
      <c r="K381" s="1">
        <v>6</v>
      </c>
      <c r="M381" s="1" t="s">
        <v>4282</v>
      </c>
      <c r="N381" s="1">
        <v>893.01</v>
      </c>
      <c r="O381" s="1">
        <f>(ordersTable[[#This Row],[Quantity]]*ordersTable[[#This Row],[UnitPrice]])-ordersTable[[#This Row],[TotalPrice]]</f>
        <v>0</v>
      </c>
    </row>
    <row r="382" spans="1:15" x14ac:dyDescent="0.3">
      <c r="A382" s="1" t="s">
        <v>394</v>
      </c>
      <c r="B382" s="2">
        <v>45402</v>
      </c>
      <c r="C382" s="3" t="s">
        <v>1594</v>
      </c>
      <c r="D382" s="1" t="s">
        <v>2407</v>
      </c>
      <c r="E382" s="5">
        <v>4</v>
      </c>
      <c r="F382" s="4">
        <v>331.9</v>
      </c>
      <c r="G382" s="1" t="s">
        <v>2640</v>
      </c>
      <c r="H382" s="1" t="s">
        <v>3069</v>
      </c>
      <c r="I382" s="1" t="s">
        <v>3074</v>
      </c>
      <c r="J382" s="1" t="s">
        <v>3455</v>
      </c>
      <c r="K382" s="1">
        <v>5</v>
      </c>
      <c r="L382" s="1" t="s">
        <v>4275</v>
      </c>
      <c r="M382" s="1" t="s">
        <v>4278</v>
      </c>
      <c r="N382" s="1">
        <v>1327.6</v>
      </c>
      <c r="O382" s="1">
        <f>(ordersTable[[#This Row],[Quantity]]*ordersTable[[#This Row],[UnitPrice]])-ordersTable[[#This Row],[TotalPrice]]</f>
        <v>0</v>
      </c>
    </row>
    <row r="383" spans="1:15" x14ac:dyDescent="0.3">
      <c r="A383" s="1" t="s">
        <v>395</v>
      </c>
      <c r="B383" s="2">
        <v>45084</v>
      </c>
      <c r="C383" s="3" t="s">
        <v>1595</v>
      </c>
      <c r="D383" s="1" t="s">
        <v>2406</v>
      </c>
      <c r="E383" s="5">
        <v>1</v>
      </c>
      <c r="F383" s="4">
        <v>191.76</v>
      </c>
      <c r="G383" s="1" t="s">
        <v>2454</v>
      </c>
      <c r="H383" s="1" t="s">
        <v>3067</v>
      </c>
      <c r="I383" s="1" t="s">
        <v>3072</v>
      </c>
      <c r="J383" s="1" t="s">
        <v>3456</v>
      </c>
      <c r="K383" s="1">
        <v>1</v>
      </c>
      <c r="L383" s="1" t="s">
        <v>4276</v>
      </c>
      <c r="M383" s="1" t="s">
        <v>4278</v>
      </c>
      <c r="N383" s="1">
        <v>191.76</v>
      </c>
      <c r="O383" s="1">
        <f>(ordersTable[[#This Row],[Quantity]]*ordersTable[[#This Row],[UnitPrice]])-ordersTable[[#This Row],[TotalPrice]]</f>
        <v>0</v>
      </c>
    </row>
    <row r="384" spans="1:15" x14ac:dyDescent="0.3">
      <c r="A384" s="1" t="s">
        <v>396</v>
      </c>
      <c r="B384" s="2">
        <v>45687</v>
      </c>
      <c r="C384" s="3" t="s">
        <v>1596</v>
      </c>
      <c r="D384" s="1" t="s">
        <v>2407</v>
      </c>
      <c r="E384" s="5">
        <v>4</v>
      </c>
      <c r="F384" s="4">
        <v>263.08999999999997</v>
      </c>
      <c r="G384" s="1" t="s">
        <v>2724</v>
      </c>
      <c r="H384" s="1" t="s">
        <v>3065</v>
      </c>
      <c r="I384" s="1" t="s">
        <v>3070</v>
      </c>
      <c r="J384" s="1" t="s">
        <v>3457</v>
      </c>
      <c r="K384" s="1">
        <v>8</v>
      </c>
      <c r="L384" s="1" t="s">
        <v>4275</v>
      </c>
      <c r="M384" s="1" t="s">
        <v>4282</v>
      </c>
      <c r="N384" s="1">
        <v>1052.3599999999999</v>
      </c>
      <c r="O384" s="1">
        <f>(ordersTable[[#This Row],[Quantity]]*ordersTable[[#This Row],[UnitPrice]])-ordersTable[[#This Row],[TotalPrice]]</f>
        <v>0</v>
      </c>
    </row>
    <row r="385" spans="1:15" x14ac:dyDescent="0.3">
      <c r="A385" s="1" t="s">
        <v>397</v>
      </c>
      <c r="B385" s="2">
        <v>44946</v>
      </c>
      <c r="C385" s="3" t="s">
        <v>1597</v>
      </c>
      <c r="D385" s="1" t="s">
        <v>2406</v>
      </c>
      <c r="E385" s="5">
        <v>4</v>
      </c>
      <c r="F385" s="4">
        <v>393.8</v>
      </c>
      <c r="G385" s="1" t="s">
        <v>2497</v>
      </c>
      <c r="H385" s="1" t="s">
        <v>3067</v>
      </c>
      <c r="I385" s="1" t="s">
        <v>3074</v>
      </c>
      <c r="J385" s="1" t="s">
        <v>3458</v>
      </c>
      <c r="K385" s="1">
        <v>7</v>
      </c>
      <c r="L385" s="1" t="s">
        <v>4275</v>
      </c>
      <c r="M385" s="1" t="s">
        <v>4280</v>
      </c>
      <c r="N385" s="1">
        <v>1575.2</v>
      </c>
      <c r="O385" s="1">
        <f>(ordersTable[[#This Row],[Quantity]]*ordersTable[[#This Row],[UnitPrice]])-ordersTable[[#This Row],[TotalPrice]]</f>
        <v>0</v>
      </c>
    </row>
    <row r="386" spans="1:15" x14ac:dyDescent="0.3">
      <c r="A386" s="1" t="s">
        <v>398</v>
      </c>
      <c r="B386" s="2">
        <v>45620</v>
      </c>
      <c r="C386" s="3" t="s">
        <v>1598</v>
      </c>
      <c r="D386" s="1" t="s">
        <v>2406</v>
      </c>
      <c r="E386" s="5">
        <v>3</v>
      </c>
      <c r="F386" s="4">
        <v>553.57000000000005</v>
      </c>
      <c r="G386" s="1" t="s">
        <v>2725</v>
      </c>
      <c r="H386" s="1" t="s">
        <v>3067</v>
      </c>
      <c r="I386" s="1" t="s">
        <v>3072</v>
      </c>
      <c r="J386" s="1" t="s">
        <v>3459</v>
      </c>
      <c r="K386" s="1">
        <v>4</v>
      </c>
      <c r="L386" s="1" t="s">
        <v>4276</v>
      </c>
      <c r="M386" s="1" t="s">
        <v>4281</v>
      </c>
      <c r="N386" s="1">
        <v>1660.71</v>
      </c>
      <c r="O386" s="1">
        <f>(ordersTable[[#This Row],[Quantity]]*ordersTable[[#This Row],[UnitPrice]])-ordersTable[[#This Row],[TotalPrice]]</f>
        <v>0</v>
      </c>
    </row>
    <row r="387" spans="1:15" x14ac:dyDescent="0.3">
      <c r="A387" s="1" t="s">
        <v>399</v>
      </c>
      <c r="B387" s="2">
        <v>45230</v>
      </c>
      <c r="C387" s="3" t="s">
        <v>1599</v>
      </c>
      <c r="D387" s="1" t="s">
        <v>2406</v>
      </c>
      <c r="E387" s="5">
        <v>5</v>
      </c>
      <c r="F387" s="4">
        <v>191.63</v>
      </c>
      <c r="G387" s="1" t="s">
        <v>2470</v>
      </c>
      <c r="H387" s="1" t="s">
        <v>3068</v>
      </c>
      <c r="I387" s="1" t="s">
        <v>3073</v>
      </c>
      <c r="J387" s="1" t="s">
        <v>3460</v>
      </c>
      <c r="K387" s="1">
        <v>6</v>
      </c>
      <c r="L387" s="1" t="s">
        <v>4276</v>
      </c>
      <c r="M387" s="1" t="s">
        <v>4281</v>
      </c>
      <c r="N387" s="1">
        <v>958.15</v>
      </c>
      <c r="O387" s="1">
        <f>(ordersTable[[#This Row],[Quantity]]*ordersTable[[#This Row],[UnitPrice]])-ordersTable[[#This Row],[TotalPrice]]</f>
        <v>0</v>
      </c>
    </row>
    <row r="388" spans="1:15" x14ac:dyDescent="0.3">
      <c r="A388" s="1" t="s">
        <v>400</v>
      </c>
      <c r="B388" s="2">
        <v>45044</v>
      </c>
      <c r="C388" s="3" t="s">
        <v>1600</v>
      </c>
      <c r="D388" s="1" t="s">
        <v>2405</v>
      </c>
      <c r="E388" s="5">
        <v>1</v>
      </c>
      <c r="F388" s="4">
        <v>93.02</v>
      </c>
      <c r="G388" s="1" t="s">
        <v>2726</v>
      </c>
      <c r="H388" s="1" t="s">
        <v>3066</v>
      </c>
      <c r="I388" s="1" t="s">
        <v>3072</v>
      </c>
      <c r="J388" s="1" t="s">
        <v>3461</v>
      </c>
      <c r="K388" s="1">
        <v>4</v>
      </c>
      <c r="M388" s="1" t="s">
        <v>4280</v>
      </c>
      <c r="N388" s="1">
        <v>93.02</v>
      </c>
      <c r="O388" s="1">
        <f>(ordersTable[[#This Row],[Quantity]]*ordersTable[[#This Row],[UnitPrice]])-ordersTable[[#This Row],[TotalPrice]]</f>
        <v>0</v>
      </c>
    </row>
    <row r="389" spans="1:15" x14ac:dyDescent="0.3">
      <c r="A389" s="1" t="s">
        <v>401</v>
      </c>
      <c r="B389" s="2">
        <v>45470</v>
      </c>
      <c r="C389" s="3" t="s">
        <v>1601</v>
      </c>
      <c r="D389" s="1" t="s">
        <v>2407</v>
      </c>
      <c r="E389" s="5">
        <v>2</v>
      </c>
      <c r="F389" s="4">
        <v>39.53</v>
      </c>
      <c r="G389" s="1" t="s">
        <v>2418</v>
      </c>
      <c r="H389" s="1" t="s">
        <v>3067</v>
      </c>
      <c r="I389" s="1" t="s">
        <v>3070</v>
      </c>
      <c r="J389" s="1" t="s">
        <v>3462</v>
      </c>
      <c r="K389" s="1">
        <v>3</v>
      </c>
      <c r="L389" s="1" t="s">
        <v>4277</v>
      </c>
      <c r="M389" s="1" t="s">
        <v>4282</v>
      </c>
      <c r="N389" s="1">
        <v>79.06</v>
      </c>
      <c r="O389" s="1">
        <f>(ordersTable[[#This Row],[Quantity]]*ordersTable[[#This Row],[UnitPrice]])-ordersTable[[#This Row],[TotalPrice]]</f>
        <v>0</v>
      </c>
    </row>
    <row r="390" spans="1:15" x14ac:dyDescent="0.3">
      <c r="A390" s="1" t="s">
        <v>402</v>
      </c>
      <c r="B390" s="2">
        <v>45288</v>
      </c>
      <c r="C390" s="3" t="s">
        <v>1602</v>
      </c>
      <c r="D390" s="1" t="s">
        <v>2407</v>
      </c>
      <c r="E390" s="5">
        <v>3</v>
      </c>
      <c r="F390" s="4">
        <v>633.97</v>
      </c>
      <c r="G390" s="1" t="s">
        <v>2504</v>
      </c>
      <c r="H390" s="1" t="s">
        <v>3069</v>
      </c>
      <c r="I390" s="1" t="s">
        <v>3074</v>
      </c>
      <c r="J390" s="1" t="s">
        <v>3463</v>
      </c>
      <c r="K390" s="1">
        <v>7</v>
      </c>
      <c r="L390" s="1" t="s">
        <v>4277</v>
      </c>
      <c r="M390" s="1" t="s">
        <v>4281</v>
      </c>
      <c r="N390" s="1">
        <v>1901.91</v>
      </c>
      <c r="O390" s="1">
        <f>(ordersTable[[#This Row],[Quantity]]*ordersTable[[#This Row],[UnitPrice]])-ordersTable[[#This Row],[TotalPrice]]</f>
        <v>0</v>
      </c>
    </row>
    <row r="391" spans="1:15" x14ac:dyDescent="0.3">
      <c r="A391" s="1" t="s">
        <v>403</v>
      </c>
      <c r="B391" s="2">
        <v>45277</v>
      </c>
      <c r="C391" s="3" t="s">
        <v>1603</v>
      </c>
      <c r="D391" s="1" t="s">
        <v>2409</v>
      </c>
      <c r="E391" s="5">
        <v>4</v>
      </c>
      <c r="F391" s="4">
        <v>697.5</v>
      </c>
      <c r="G391" s="1" t="s">
        <v>2727</v>
      </c>
      <c r="H391" s="1" t="s">
        <v>3069</v>
      </c>
      <c r="I391" s="1" t="s">
        <v>3070</v>
      </c>
      <c r="J391" s="1" t="s">
        <v>3464</v>
      </c>
      <c r="K391" s="1">
        <v>7</v>
      </c>
      <c r="L391" s="1" t="s">
        <v>4276</v>
      </c>
      <c r="M391" s="1" t="s">
        <v>4279</v>
      </c>
      <c r="N391" s="1">
        <v>2790</v>
      </c>
      <c r="O391" s="1">
        <f>(ordersTable[[#This Row],[Quantity]]*ordersTable[[#This Row],[UnitPrice]])-ordersTable[[#This Row],[TotalPrice]]</f>
        <v>0</v>
      </c>
    </row>
    <row r="392" spans="1:15" x14ac:dyDescent="0.3">
      <c r="A392" s="1" t="s">
        <v>404</v>
      </c>
      <c r="B392" s="2">
        <v>45121</v>
      </c>
      <c r="C392" s="3" t="s">
        <v>1604</v>
      </c>
      <c r="D392" s="1" t="s">
        <v>2407</v>
      </c>
      <c r="E392" s="5">
        <v>5</v>
      </c>
      <c r="F392" s="4">
        <v>508.69</v>
      </c>
      <c r="G392" s="1" t="s">
        <v>2701</v>
      </c>
      <c r="H392" s="1" t="s">
        <v>3069</v>
      </c>
      <c r="I392" s="1" t="s">
        <v>3073</v>
      </c>
      <c r="J392" s="1" t="s">
        <v>3465</v>
      </c>
      <c r="K392" s="1">
        <v>10</v>
      </c>
      <c r="L392" s="1" t="s">
        <v>4276</v>
      </c>
      <c r="M392" s="1" t="s">
        <v>4282</v>
      </c>
      <c r="N392" s="1">
        <v>2543.4499999999998</v>
      </c>
      <c r="O392" s="1">
        <f>(ordersTable[[#This Row],[Quantity]]*ordersTable[[#This Row],[UnitPrice]])-ordersTable[[#This Row],[TotalPrice]]</f>
        <v>0</v>
      </c>
    </row>
    <row r="393" spans="1:15" x14ac:dyDescent="0.3">
      <c r="A393" s="1" t="s">
        <v>405</v>
      </c>
      <c r="B393" s="2">
        <v>45673</v>
      </c>
      <c r="C393" s="3" t="s">
        <v>1605</v>
      </c>
      <c r="D393" s="1" t="s">
        <v>2408</v>
      </c>
      <c r="E393" s="5">
        <v>2</v>
      </c>
      <c r="F393" s="4">
        <v>527.46</v>
      </c>
      <c r="G393" s="1" t="s">
        <v>2654</v>
      </c>
      <c r="H393" s="1" t="s">
        <v>3065</v>
      </c>
      <c r="I393" s="1" t="s">
        <v>3071</v>
      </c>
      <c r="J393" s="1" t="s">
        <v>3466</v>
      </c>
      <c r="K393" s="1">
        <v>3</v>
      </c>
      <c r="L393" s="1" t="s">
        <v>4276</v>
      </c>
      <c r="M393" s="1" t="s">
        <v>4279</v>
      </c>
      <c r="N393" s="1">
        <v>1054.92</v>
      </c>
      <c r="O393" s="1">
        <f>(ordersTable[[#This Row],[Quantity]]*ordersTable[[#This Row],[UnitPrice]])-ordersTable[[#This Row],[TotalPrice]]</f>
        <v>0</v>
      </c>
    </row>
    <row r="394" spans="1:15" x14ac:dyDescent="0.3">
      <c r="A394" s="1" t="s">
        <v>406</v>
      </c>
      <c r="B394" s="2">
        <v>45350</v>
      </c>
      <c r="C394" s="3" t="s">
        <v>1606</v>
      </c>
      <c r="D394" s="1" t="s">
        <v>2404</v>
      </c>
      <c r="E394" s="5">
        <v>1</v>
      </c>
      <c r="F394" s="4">
        <v>627.20000000000005</v>
      </c>
      <c r="G394" s="1" t="s">
        <v>2713</v>
      </c>
      <c r="H394" s="1" t="s">
        <v>3066</v>
      </c>
      <c r="I394" s="1" t="s">
        <v>3073</v>
      </c>
      <c r="J394" s="1" t="s">
        <v>3467</v>
      </c>
      <c r="K394" s="1">
        <v>1</v>
      </c>
      <c r="L394" s="1" t="s">
        <v>4277</v>
      </c>
      <c r="M394" s="1" t="s">
        <v>4280</v>
      </c>
      <c r="N394" s="1">
        <v>627.20000000000005</v>
      </c>
      <c r="O394" s="1">
        <f>(ordersTable[[#This Row],[Quantity]]*ordersTable[[#This Row],[UnitPrice]])-ordersTable[[#This Row],[TotalPrice]]</f>
        <v>0</v>
      </c>
    </row>
    <row r="395" spans="1:15" x14ac:dyDescent="0.3">
      <c r="A395" s="1" t="s">
        <v>407</v>
      </c>
      <c r="B395" s="2">
        <v>45487</v>
      </c>
      <c r="C395" s="3" t="s">
        <v>1607</v>
      </c>
      <c r="D395" s="1" t="s">
        <v>2407</v>
      </c>
      <c r="E395" s="5">
        <v>1</v>
      </c>
      <c r="F395" s="4">
        <v>75.010000000000005</v>
      </c>
      <c r="G395" s="1" t="s">
        <v>2728</v>
      </c>
      <c r="H395" s="1" t="s">
        <v>3067</v>
      </c>
      <c r="I395" s="1" t="s">
        <v>3072</v>
      </c>
      <c r="J395" s="1" t="s">
        <v>3468</v>
      </c>
      <c r="K395" s="1">
        <v>3</v>
      </c>
      <c r="M395" s="1" t="s">
        <v>4282</v>
      </c>
      <c r="N395" s="1">
        <v>75.010000000000005</v>
      </c>
      <c r="O395" s="1">
        <f>(ordersTable[[#This Row],[Quantity]]*ordersTable[[#This Row],[UnitPrice]])-ordersTable[[#This Row],[TotalPrice]]</f>
        <v>0</v>
      </c>
    </row>
    <row r="396" spans="1:15" x14ac:dyDescent="0.3">
      <c r="A396" s="1" t="s">
        <v>408</v>
      </c>
      <c r="B396" s="2">
        <v>45112</v>
      </c>
      <c r="C396" s="3" t="s">
        <v>1608</v>
      </c>
      <c r="D396" s="1" t="s">
        <v>2409</v>
      </c>
      <c r="E396" s="5">
        <v>5</v>
      </c>
      <c r="F396" s="4">
        <v>529.54999999999995</v>
      </c>
      <c r="G396" s="1" t="s">
        <v>2729</v>
      </c>
      <c r="H396" s="1" t="s">
        <v>3068</v>
      </c>
      <c r="I396" s="1" t="s">
        <v>3070</v>
      </c>
      <c r="J396" s="1" t="s">
        <v>3469</v>
      </c>
      <c r="K396" s="1">
        <v>10</v>
      </c>
      <c r="M396" s="1" t="s">
        <v>4281</v>
      </c>
      <c r="N396" s="1">
        <v>2647.75</v>
      </c>
      <c r="O396" s="1">
        <f>(ordersTable[[#This Row],[Quantity]]*ordersTable[[#This Row],[UnitPrice]])-ordersTable[[#This Row],[TotalPrice]]</f>
        <v>0</v>
      </c>
    </row>
    <row r="397" spans="1:15" x14ac:dyDescent="0.3">
      <c r="A397" s="1" t="s">
        <v>409</v>
      </c>
      <c r="B397" s="2">
        <v>45772</v>
      </c>
      <c r="C397" s="3" t="s">
        <v>1609</v>
      </c>
      <c r="D397" s="1" t="s">
        <v>2404</v>
      </c>
      <c r="E397" s="5">
        <v>3</v>
      </c>
      <c r="F397" s="4">
        <v>127.41</v>
      </c>
      <c r="G397" s="1" t="s">
        <v>2442</v>
      </c>
      <c r="H397" s="1" t="s">
        <v>3068</v>
      </c>
      <c r="I397" s="1" t="s">
        <v>3073</v>
      </c>
      <c r="J397" s="1" t="s">
        <v>3470</v>
      </c>
      <c r="K397" s="1">
        <v>7</v>
      </c>
      <c r="L397" s="1" t="s">
        <v>4275</v>
      </c>
      <c r="M397" s="1" t="s">
        <v>4279</v>
      </c>
      <c r="N397" s="1">
        <v>382.23</v>
      </c>
      <c r="O397" s="1">
        <f>(ordersTable[[#This Row],[Quantity]]*ordersTable[[#This Row],[UnitPrice]])-ordersTable[[#This Row],[TotalPrice]]</f>
        <v>0</v>
      </c>
    </row>
    <row r="398" spans="1:15" x14ac:dyDescent="0.3">
      <c r="A398" s="1" t="s">
        <v>410</v>
      </c>
      <c r="B398" s="2">
        <v>45261</v>
      </c>
      <c r="C398" s="3" t="s">
        <v>1610</v>
      </c>
      <c r="D398" s="1" t="s">
        <v>2405</v>
      </c>
      <c r="E398" s="5">
        <v>5</v>
      </c>
      <c r="F398" s="4">
        <v>287.13</v>
      </c>
      <c r="G398" s="1" t="s">
        <v>2730</v>
      </c>
      <c r="H398" s="1" t="s">
        <v>3066</v>
      </c>
      <c r="I398" s="1" t="s">
        <v>3070</v>
      </c>
      <c r="J398" s="1" t="s">
        <v>3471</v>
      </c>
      <c r="K398" s="1">
        <v>10</v>
      </c>
      <c r="L398" s="1" t="s">
        <v>4275</v>
      </c>
      <c r="M398" s="1" t="s">
        <v>4280</v>
      </c>
      <c r="N398" s="1">
        <v>1435.65</v>
      </c>
      <c r="O398" s="1">
        <f>(ordersTable[[#This Row],[Quantity]]*ordersTable[[#This Row],[UnitPrice]])-ordersTable[[#This Row],[TotalPrice]]</f>
        <v>0</v>
      </c>
    </row>
    <row r="399" spans="1:15" x14ac:dyDescent="0.3">
      <c r="A399" s="1" t="s">
        <v>411</v>
      </c>
      <c r="B399" s="2">
        <v>45197</v>
      </c>
      <c r="C399" s="3" t="s">
        <v>1611</v>
      </c>
      <c r="D399" s="1" t="s">
        <v>2403</v>
      </c>
      <c r="E399" s="5">
        <v>1</v>
      </c>
      <c r="F399" s="4">
        <v>427.06</v>
      </c>
      <c r="G399" s="1" t="s">
        <v>2731</v>
      </c>
      <c r="H399" s="1" t="s">
        <v>3066</v>
      </c>
      <c r="I399" s="1" t="s">
        <v>3071</v>
      </c>
      <c r="J399" s="1" t="s">
        <v>3472</v>
      </c>
      <c r="K399" s="1">
        <v>1</v>
      </c>
      <c r="L399" s="1" t="s">
        <v>4277</v>
      </c>
      <c r="M399" s="1" t="s">
        <v>4279</v>
      </c>
      <c r="N399" s="1">
        <v>427.06</v>
      </c>
      <c r="O399" s="1">
        <f>(ordersTable[[#This Row],[Quantity]]*ordersTable[[#This Row],[UnitPrice]])-ordersTable[[#This Row],[TotalPrice]]</f>
        <v>0</v>
      </c>
    </row>
    <row r="400" spans="1:15" x14ac:dyDescent="0.3">
      <c r="A400" s="1" t="s">
        <v>412</v>
      </c>
      <c r="B400" s="2">
        <v>45539</v>
      </c>
      <c r="C400" s="3" t="s">
        <v>1612</v>
      </c>
      <c r="D400" s="1" t="s">
        <v>2404</v>
      </c>
      <c r="E400" s="5">
        <v>5</v>
      </c>
      <c r="F400" s="4">
        <v>53.93</v>
      </c>
      <c r="G400" s="1" t="s">
        <v>2592</v>
      </c>
      <c r="H400" s="1" t="s">
        <v>3068</v>
      </c>
      <c r="I400" s="1" t="s">
        <v>3070</v>
      </c>
      <c r="J400" s="1" t="s">
        <v>3473</v>
      </c>
      <c r="K400" s="1">
        <v>7</v>
      </c>
      <c r="L400" s="1" t="s">
        <v>4275</v>
      </c>
      <c r="M400" s="1" t="s">
        <v>4278</v>
      </c>
      <c r="N400" s="1">
        <v>269.64999999999998</v>
      </c>
      <c r="O400" s="1">
        <f>(ordersTable[[#This Row],[Quantity]]*ordersTable[[#This Row],[UnitPrice]])-ordersTable[[#This Row],[TotalPrice]]</f>
        <v>0</v>
      </c>
    </row>
    <row r="401" spans="1:15" x14ac:dyDescent="0.3">
      <c r="A401" s="1" t="s">
        <v>413</v>
      </c>
      <c r="B401" s="2">
        <v>45298</v>
      </c>
      <c r="C401" s="3" t="s">
        <v>1613</v>
      </c>
      <c r="D401" s="1" t="s">
        <v>2405</v>
      </c>
      <c r="E401" s="5">
        <v>5</v>
      </c>
      <c r="F401" s="4">
        <v>423.93</v>
      </c>
      <c r="G401" s="1" t="s">
        <v>2732</v>
      </c>
      <c r="H401" s="1" t="s">
        <v>3065</v>
      </c>
      <c r="I401" s="1" t="s">
        <v>3072</v>
      </c>
      <c r="J401" s="1" t="s">
        <v>3474</v>
      </c>
      <c r="K401" s="1">
        <v>5</v>
      </c>
      <c r="L401" s="1" t="s">
        <v>4276</v>
      </c>
      <c r="M401" s="1" t="s">
        <v>4281</v>
      </c>
      <c r="N401" s="1">
        <v>2119.65</v>
      </c>
      <c r="O401" s="1">
        <f>(ordersTable[[#This Row],[Quantity]]*ordersTable[[#This Row],[UnitPrice]])-ordersTable[[#This Row],[TotalPrice]]</f>
        <v>0</v>
      </c>
    </row>
    <row r="402" spans="1:15" x14ac:dyDescent="0.3">
      <c r="A402" s="1" t="s">
        <v>414</v>
      </c>
      <c r="B402" s="2">
        <v>45563</v>
      </c>
      <c r="C402" s="3" t="s">
        <v>1614</v>
      </c>
      <c r="D402" s="1" t="s">
        <v>2409</v>
      </c>
      <c r="E402" s="5">
        <v>4</v>
      </c>
      <c r="F402" s="4">
        <v>160.22</v>
      </c>
      <c r="G402" s="1" t="s">
        <v>2733</v>
      </c>
      <c r="H402" s="1" t="s">
        <v>3065</v>
      </c>
      <c r="I402" s="1" t="s">
        <v>3072</v>
      </c>
      <c r="J402" s="1" t="s">
        <v>3475</v>
      </c>
      <c r="K402" s="1">
        <v>9</v>
      </c>
      <c r="L402" s="1" t="s">
        <v>4277</v>
      </c>
      <c r="M402" s="1" t="s">
        <v>4278</v>
      </c>
      <c r="N402" s="1">
        <v>640.88</v>
      </c>
      <c r="O402" s="1">
        <f>(ordersTable[[#This Row],[Quantity]]*ordersTable[[#This Row],[UnitPrice]])-ordersTable[[#This Row],[TotalPrice]]</f>
        <v>0</v>
      </c>
    </row>
    <row r="403" spans="1:15" x14ac:dyDescent="0.3">
      <c r="A403" s="1" t="s">
        <v>415</v>
      </c>
      <c r="B403" s="2">
        <v>45756</v>
      </c>
      <c r="C403" s="3" t="s">
        <v>1615</v>
      </c>
      <c r="D403" s="1" t="s">
        <v>2407</v>
      </c>
      <c r="E403" s="5">
        <v>1</v>
      </c>
      <c r="F403" s="4">
        <v>538.67999999999995</v>
      </c>
      <c r="G403" s="1" t="s">
        <v>2713</v>
      </c>
      <c r="H403" s="1" t="s">
        <v>3065</v>
      </c>
      <c r="I403" s="1" t="s">
        <v>3072</v>
      </c>
      <c r="J403" s="1" t="s">
        <v>3476</v>
      </c>
      <c r="K403" s="1">
        <v>6</v>
      </c>
      <c r="M403" s="1" t="s">
        <v>4279</v>
      </c>
      <c r="N403" s="1">
        <v>538.67999999999995</v>
      </c>
      <c r="O403" s="1">
        <f>(ordersTable[[#This Row],[Quantity]]*ordersTable[[#This Row],[UnitPrice]])-ordersTable[[#This Row],[TotalPrice]]</f>
        <v>0</v>
      </c>
    </row>
    <row r="404" spans="1:15" x14ac:dyDescent="0.3">
      <c r="A404" s="1" t="s">
        <v>416</v>
      </c>
      <c r="B404" s="2">
        <v>45025</v>
      </c>
      <c r="C404" s="3" t="s">
        <v>1616</v>
      </c>
      <c r="D404" s="1" t="s">
        <v>2407</v>
      </c>
      <c r="E404" s="5">
        <v>5</v>
      </c>
      <c r="F404" s="4">
        <v>337.38</v>
      </c>
      <c r="G404" s="1" t="s">
        <v>2734</v>
      </c>
      <c r="H404" s="1" t="s">
        <v>3068</v>
      </c>
      <c r="I404" s="1" t="s">
        <v>3070</v>
      </c>
      <c r="J404" s="1" t="s">
        <v>3477</v>
      </c>
      <c r="K404" s="1">
        <v>5</v>
      </c>
      <c r="M404" s="1" t="s">
        <v>4279</v>
      </c>
      <c r="N404" s="1">
        <v>1686.9</v>
      </c>
      <c r="O404" s="1">
        <f>(ordersTable[[#This Row],[Quantity]]*ordersTable[[#This Row],[UnitPrice]])-ordersTable[[#This Row],[TotalPrice]]</f>
        <v>0</v>
      </c>
    </row>
    <row r="405" spans="1:15" x14ac:dyDescent="0.3">
      <c r="A405" s="1" t="s">
        <v>417</v>
      </c>
      <c r="B405" s="2">
        <v>45606</v>
      </c>
      <c r="C405" s="3" t="s">
        <v>1617</v>
      </c>
      <c r="D405" s="1" t="s">
        <v>2405</v>
      </c>
      <c r="E405" s="5">
        <v>1</v>
      </c>
      <c r="F405" s="4">
        <v>620.21</v>
      </c>
      <c r="G405" s="1" t="s">
        <v>2650</v>
      </c>
      <c r="H405" s="1" t="s">
        <v>3066</v>
      </c>
      <c r="I405" s="1" t="s">
        <v>3072</v>
      </c>
      <c r="J405" s="1" t="s">
        <v>3478</v>
      </c>
      <c r="K405" s="1">
        <v>1</v>
      </c>
      <c r="L405" s="1" t="s">
        <v>4276</v>
      </c>
      <c r="M405" s="1" t="s">
        <v>4279</v>
      </c>
      <c r="N405" s="1">
        <v>620.21</v>
      </c>
      <c r="O405" s="1">
        <f>(ordersTable[[#This Row],[Quantity]]*ordersTable[[#This Row],[UnitPrice]])-ordersTable[[#This Row],[TotalPrice]]</f>
        <v>0</v>
      </c>
    </row>
    <row r="406" spans="1:15" x14ac:dyDescent="0.3">
      <c r="A406" s="1" t="s">
        <v>418</v>
      </c>
      <c r="B406" s="2">
        <v>44994</v>
      </c>
      <c r="C406" s="3" t="s">
        <v>1618</v>
      </c>
      <c r="D406" s="1" t="s">
        <v>2403</v>
      </c>
      <c r="E406" s="5">
        <v>2</v>
      </c>
      <c r="F406" s="4">
        <v>99.1</v>
      </c>
      <c r="G406" s="1" t="s">
        <v>2473</v>
      </c>
      <c r="H406" s="1" t="s">
        <v>3069</v>
      </c>
      <c r="I406" s="1" t="s">
        <v>3073</v>
      </c>
      <c r="J406" s="1" t="s">
        <v>3479</v>
      </c>
      <c r="K406" s="1">
        <v>6</v>
      </c>
      <c r="M406" s="1" t="s">
        <v>4278</v>
      </c>
      <c r="N406" s="1">
        <v>198.2</v>
      </c>
      <c r="O406" s="1">
        <f>(ordersTable[[#This Row],[Quantity]]*ordersTable[[#This Row],[UnitPrice]])-ordersTable[[#This Row],[TotalPrice]]</f>
        <v>0</v>
      </c>
    </row>
    <row r="407" spans="1:15" x14ac:dyDescent="0.3">
      <c r="A407" s="1" t="s">
        <v>419</v>
      </c>
      <c r="B407" s="2">
        <v>45683</v>
      </c>
      <c r="C407" s="3" t="s">
        <v>1619</v>
      </c>
      <c r="D407" s="1" t="s">
        <v>2403</v>
      </c>
      <c r="E407" s="5">
        <v>4</v>
      </c>
      <c r="F407" s="4">
        <v>451.97</v>
      </c>
      <c r="G407" s="1" t="s">
        <v>2715</v>
      </c>
      <c r="H407" s="1" t="s">
        <v>3066</v>
      </c>
      <c r="I407" s="1" t="s">
        <v>3071</v>
      </c>
      <c r="J407" s="1" t="s">
        <v>3480</v>
      </c>
      <c r="K407" s="1">
        <v>7</v>
      </c>
      <c r="L407" s="1" t="s">
        <v>4277</v>
      </c>
      <c r="M407" s="1" t="s">
        <v>4280</v>
      </c>
      <c r="N407" s="1">
        <v>1807.88</v>
      </c>
      <c r="O407" s="1">
        <f>(ordersTable[[#This Row],[Quantity]]*ordersTable[[#This Row],[UnitPrice]])-ordersTable[[#This Row],[TotalPrice]]</f>
        <v>0</v>
      </c>
    </row>
    <row r="408" spans="1:15" x14ac:dyDescent="0.3">
      <c r="A408" s="1" t="s">
        <v>420</v>
      </c>
      <c r="B408" s="2">
        <v>45270</v>
      </c>
      <c r="C408" s="3" t="s">
        <v>1620</v>
      </c>
      <c r="D408" s="1" t="s">
        <v>2405</v>
      </c>
      <c r="E408" s="5">
        <v>4</v>
      </c>
      <c r="F408" s="4">
        <v>66.099999999999994</v>
      </c>
      <c r="G408" s="1" t="s">
        <v>2577</v>
      </c>
      <c r="H408" s="1" t="s">
        <v>3069</v>
      </c>
      <c r="I408" s="1" t="s">
        <v>3072</v>
      </c>
      <c r="J408" s="1" t="s">
        <v>3481</v>
      </c>
      <c r="K408" s="1">
        <v>9</v>
      </c>
      <c r="L408" s="1" t="s">
        <v>4277</v>
      </c>
      <c r="M408" s="1" t="s">
        <v>4282</v>
      </c>
      <c r="N408" s="1">
        <v>264.39999999999998</v>
      </c>
      <c r="O408" s="1">
        <f>(ordersTable[[#This Row],[Quantity]]*ordersTable[[#This Row],[UnitPrice]])-ordersTable[[#This Row],[TotalPrice]]</f>
        <v>0</v>
      </c>
    </row>
    <row r="409" spans="1:15" x14ac:dyDescent="0.3">
      <c r="A409" s="1" t="s">
        <v>421</v>
      </c>
      <c r="B409" s="2">
        <v>45151</v>
      </c>
      <c r="C409" s="3" t="s">
        <v>1621</v>
      </c>
      <c r="D409" s="1" t="s">
        <v>2405</v>
      </c>
      <c r="E409" s="5">
        <v>4</v>
      </c>
      <c r="F409" s="4">
        <v>547.32000000000005</v>
      </c>
      <c r="G409" s="1" t="s">
        <v>2634</v>
      </c>
      <c r="H409" s="1" t="s">
        <v>3069</v>
      </c>
      <c r="I409" s="1" t="s">
        <v>3072</v>
      </c>
      <c r="J409" s="1" t="s">
        <v>3482</v>
      </c>
      <c r="K409" s="1">
        <v>8</v>
      </c>
      <c r="L409" s="1" t="s">
        <v>4276</v>
      </c>
      <c r="M409" s="1" t="s">
        <v>4278</v>
      </c>
      <c r="N409" s="1">
        <v>2189.2800000000002</v>
      </c>
      <c r="O409" s="1">
        <f>(ordersTable[[#This Row],[Quantity]]*ordersTable[[#This Row],[UnitPrice]])-ordersTable[[#This Row],[TotalPrice]]</f>
        <v>0</v>
      </c>
    </row>
    <row r="410" spans="1:15" x14ac:dyDescent="0.3">
      <c r="A410" s="1" t="s">
        <v>422</v>
      </c>
      <c r="B410" s="2">
        <v>45658</v>
      </c>
      <c r="C410" s="3" t="s">
        <v>1622</v>
      </c>
      <c r="D410" s="1" t="s">
        <v>2407</v>
      </c>
      <c r="E410" s="5">
        <v>3</v>
      </c>
      <c r="F410" s="4">
        <v>412.53</v>
      </c>
      <c r="G410" s="1" t="s">
        <v>2735</v>
      </c>
      <c r="H410" s="1" t="s">
        <v>3066</v>
      </c>
      <c r="I410" s="1" t="s">
        <v>3074</v>
      </c>
      <c r="J410" s="1" t="s">
        <v>3483</v>
      </c>
      <c r="K410" s="1">
        <v>6</v>
      </c>
      <c r="L410" s="1" t="s">
        <v>4277</v>
      </c>
      <c r="M410" s="1" t="s">
        <v>4282</v>
      </c>
      <c r="N410" s="1">
        <v>1237.5899999999999</v>
      </c>
      <c r="O410" s="1">
        <f>(ordersTable[[#This Row],[Quantity]]*ordersTable[[#This Row],[UnitPrice]])-ordersTable[[#This Row],[TotalPrice]]</f>
        <v>0</v>
      </c>
    </row>
    <row r="411" spans="1:15" x14ac:dyDescent="0.3">
      <c r="A411" s="1" t="s">
        <v>423</v>
      </c>
      <c r="B411" s="2">
        <v>45105</v>
      </c>
      <c r="C411" s="3" t="s">
        <v>1623</v>
      </c>
      <c r="D411" s="1" t="s">
        <v>2409</v>
      </c>
      <c r="E411" s="5">
        <v>5</v>
      </c>
      <c r="F411" s="4">
        <v>84.13</v>
      </c>
      <c r="G411" s="1" t="s">
        <v>2736</v>
      </c>
      <c r="H411" s="1" t="s">
        <v>3066</v>
      </c>
      <c r="I411" s="1" t="s">
        <v>3073</v>
      </c>
      <c r="J411" s="1" t="s">
        <v>3484</v>
      </c>
      <c r="K411" s="1">
        <v>9</v>
      </c>
      <c r="L411" s="1" t="s">
        <v>4275</v>
      </c>
      <c r="M411" s="1" t="s">
        <v>4282</v>
      </c>
      <c r="N411" s="1">
        <v>420.65</v>
      </c>
      <c r="O411" s="1">
        <f>(ordersTable[[#This Row],[Quantity]]*ordersTable[[#This Row],[UnitPrice]])-ordersTable[[#This Row],[TotalPrice]]</f>
        <v>0</v>
      </c>
    </row>
    <row r="412" spans="1:15" x14ac:dyDescent="0.3">
      <c r="A412" s="1" t="s">
        <v>424</v>
      </c>
      <c r="B412" s="2">
        <v>45309</v>
      </c>
      <c r="C412" s="3" t="s">
        <v>1624</v>
      </c>
      <c r="D412" s="1" t="s">
        <v>2405</v>
      </c>
      <c r="E412" s="5">
        <v>2</v>
      </c>
      <c r="F412" s="4">
        <v>518.23</v>
      </c>
      <c r="G412" s="1" t="s">
        <v>2737</v>
      </c>
      <c r="H412" s="1" t="s">
        <v>3065</v>
      </c>
      <c r="I412" s="1" t="s">
        <v>3070</v>
      </c>
      <c r="J412" s="1" t="s">
        <v>3485</v>
      </c>
      <c r="K412" s="1">
        <v>5</v>
      </c>
      <c r="M412" s="1" t="s">
        <v>4280</v>
      </c>
      <c r="N412" s="1">
        <v>1036.46</v>
      </c>
      <c r="O412" s="1">
        <f>(ordersTable[[#This Row],[Quantity]]*ordersTable[[#This Row],[UnitPrice]])-ordersTable[[#This Row],[TotalPrice]]</f>
        <v>0</v>
      </c>
    </row>
    <row r="413" spans="1:15" x14ac:dyDescent="0.3">
      <c r="A413" s="1" t="s">
        <v>425</v>
      </c>
      <c r="B413" s="2">
        <v>45462</v>
      </c>
      <c r="C413" s="3" t="s">
        <v>1625</v>
      </c>
      <c r="D413" s="1" t="s">
        <v>2409</v>
      </c>
      <c r="E413" s="5">
        <v>2</v>
      </c>
      <c r="F413" s="4">
        <v>39.51</v>
      </c>
      <c r="G413" s="1" t="s">
        <v>2549</v>
      </c>
      <c r="H413" s="1" t="s">
        <v>3066</v>
      </c>
      <c r="I413" s="1" t="s">
        <v>3070</v>
      </c>
      <c r="J413" s="1" t="s">
        <v>3486</v>
      </c>
      <c r="K413" s="1">
        <v>5</v>
      </c>
      <c r="M413" s="1" t="s">
        <v>4281</v>
      </c>
      <c r="N413" s="1">
        <v>79.02</v>
      </c>
      <c r="O413" s="1">
        <f>(ordersTable[[#This Row],[Quantity]]*ordersTable[[#This Row],[UnitPrice]])-ordersTable[[#This Row],[TotalPrice]]</f>
        <v>0</v>
      </c>
    </row>
    <row r="414" spans="1:15" x14ac:dyDescent="0.3">
      <c r="A414" s="1" t="s">
        <v>426</v>
      </c>
      <c r="B414" s="2">
        <v>45758</v>
      </c>
      <c r="C414" s="3" t="s">
        <v>1626</v>
      </c>
      <c r="D414" s="1" t="s">
        <v>2405</v>
      </c>
      <c r="E414" s="5">
        <v>5</v>
      </c>
      <c r="F414" s="4">
        <v>133.01</v>
      </c>
      <c r="G414" s="1" t="s">
        <v>2738</v>
      </c>
      <c r="H414" s="1" t="s">
        <v>3067</v>
      </c>
      <c r="I414" s="1" t="s">
        <v>3072</v>
      </c>
      <c r="J414" s="1" t="s">
        <v>3487</v>
      </c>
      <c r="K414" s="1">
        <v>10</v>
      </c>
      <c r="M414" s="1" t="s">
        <v>4281</v>
      </c>
      <c r="N414" s="1">
        <v>665.05</v>
      </c>
      <c r="O414" s="1">
        <f>(ordersTable[[#This Row],[Quantity]]*ordersTable[[#This Row],[UnitPrice]])-ordersTable[[#This Row],[TotalPrice]]</f>
        <v>0</v>
      </c>
    </row>
    <row r="415" spans="1:15" x14ac:dyDescent="0.3">
      <c r="A415" s="1" t="s">
        <v>427</v>
      </c>
      <c r="B415" s="2">
        <v>45207</v>
      </c>
      <c r="C415" s="3" t="s">
        <v>1627</v>
      </c>
      <c r="D415" s="1" t="s">
        <v>2405</v>
      </c>
      <c r="E415" s="5">
        <v>1</v>
      </c>
      <c r="F415" s="4">
        <v>118.8</v>
      </c>
      <c r="G415" s="1" t="s">
        <v>2739</v>
      </c>
      <c r="H415" s="1" t="s">
        <v>3066</v>
      </c>
      <c r="I415" s="1" t="s">
        <v>3073</v>
      </c>
      <c r="J415" s="1" t="s">
        <v>3488</v>
      </c>
      <c r="K415" s="1">
        <v>6</v>
      </c>
      <c r="L415" s="1" t="s">
        <v>4275</v>
      </c>
      <c r="M415" s="1" t="s">
        <v>4280</v>
      </c>
      <c r="N415" s="1">
        <v>118.8</v>
      </c>
      <c r="O415" s="1">
        <f>(ordersTable[[#This Row],[Quantity]]*ordersTable[[#This Row],[UnitPrice]])-ordersTable[[#This Row],[TotalPrice]]</f>
        <v>0</v>
      </c>
    </row>
    <row r="416" spans="1:15" x14ac:dyDescent="0.3">
      <c r="A416" s="1" t="s">
        <v>428</v>
      </c>
      <c r="B416" s="2">
        <v>45781</v>
      </c>
      <c r="C416" s="3" t="s">
        <v>1628</v>
      </c>
      <c r="D416" s="1" t="s">
        <v>2409</v>
      </c>
      <c r="E416" s="5">
        <v>2</v>
      </c>
      <c r="F416" s="4">
        <v>139.57</v>
      </c>
      <c r="G416" s="1" t="s">
        <v>2740</v>
      </c>
      <c r="H416" s="1" t="s">
        <v>3069</v>
      </c>
      <c r="I416" s="1" t="s">
        <v>3073</v>
      </c>
      <c r="J416" s="1" t="s">
        <v>3489</v>
      </c>
      <c r="K416" s="1">
        <v>4</v>
      </c>
      <c r="L416" s="1" t="s">
        <v>4277</v>
      </c>
      <c r="M416" s="1" t="s">
        <v>4281</v>
      </c>
      <c r="N416" s="1">
        <v>279.14</v>
      </c>
      <c r="O416" s="1">
        <f>(ordersTable[[#This Row],[Quantity]]*ordersTable[[#This Row],[UnitPrice]])-ordersTable[[#This Row],[TotalPrice]]</f>
        <v>0</v>
      </c>
    </row>
    <row r="417" spans="1:15" x14ac:dyDescent="0.3">
      <c r="A417" s="1" t="s">
        <v>429</v>
      </c>
      <c r="B417" s="2">
        <v>45753</v>
      </c>
      <c r="C417" s="3" t="s">
        <v>1629</v>
      </c>
      <c r="D417" s="1" t="s">
        <v>2406</v>
      </c>
      <c r="E417" s="5">
        <v>1</v>
      </c>
      <c r="F417" s="4">
        <v>184.15</v>
      </c>
      <c r="G417" s="1" t="s">
        <v>2639</v>
      </c>
      <c r="H417" s="1" t="s">
        <v>3068</v>
      </c>
      <c r="I417" s="1" t="s">
        <v>3070</v>
      </c>
      <c r="J417" s="1" t="s">
        <v>3490</v>
      </c>
      <c r="K417" s="1">
        <v>5</v>
      </c>
      <c r="L417" s="1" t="s">
        <v>4276</v>
      </c>
      <c r="M417" s="1" t="s">
        <v>4281</v>
      </c>
      <c r="N417" s="1">
        <v>184.15</v>
      </c>
      <c r="O417" s="1">
        <f>(ordersTable[[#This Row],[Quantity]]*ordersTable[[#This Row],[UnitPrice]])-ordersTable[[#This Row],[TotalPrice]]</f>
        <v>0</v>
      </c>
    </row>
    <row r="418" spans="1:15" x14ac:dyDescent="0.3">
      <c r="A418" s="1" t="s">
        <v>430</v>
      </c>
      <c r="B418" s="2">
        <v>45125</v>
      </c>
      <c r="C418" s="3" t="s">
        <v>1630</v>
      </c>
      <c r="D418" s="1" t="s">
        <v>2408</v>
      </c>
      <c r="E418" s="5">
        <v>2</v>
      </c>
      <c r="F418" s="4">
        <v>644.04999999999995</v>
      </c>
      <c r="G418" s="1" t="s">
        <v>2741</v>
      </c>
      <c r="H418" s="1" t="s">
        <v>3068</v>
      </c>
      <c r="I418" s="1" t="s">
        <v>3071</v>
      </c>
      <c r="J418" s="1" t="s">
        <v>3491</v>
      </c>
      <c r="K418" s="1">
        <v>5</v>
      </c>
      <c r="L418" s="1" t="s">
        <v>4277</v>
      </c>
      <c r="M418" s="1" t="s">
        <v>4279</v>
      </c>
      <c r="N418" s="1">
        <v>1288.0999999999999</v>
      </c>
      <c r="O418" s="1">
        <f>(ordersTable[[#This Row],[Quantity]]*ordersTable[[#This Row],[UnitPrice]])-ordersTable[[#This Row],[TotalPrice]]</f>
        <v>0</v>
      </c>
    </row>
    <row r="419" spans="1:15" x14ac:dyDescent="0.3">
      <c r="A419" s="1" t="s">
        <v>431</v>
      </c>
      <c r="B419" s="2">
        <v>45223</v>
      </c>
      <c r="C419" s="3" t="s">
        <v>1631</v>
      </c>
      <c r="D419" s="1" t="s">
        <v>2408</v>
      </c>
      <c r="E419" s="5">
        <v>5</v>
      </c>
      <c r="F419" s="4">
        <v>55.41</v>
      </c>
      <c r="G419" s="1" t="s">
        <v>2742</v>
      </c>
      <c r="H419" s="1" t="s">
        <v>3066</v>
      </c>
      <c r="I419" s="1" t="s">
        <v>3071</v>
      </c>
      <c r="J419" s="1" t="s">
        <v>3492</v>
      </c>
      <c r="K419" s="1">
        <v>5</v>
      </c>
      <c r="M419" s="1" t="s">
        <v>4282</v>
      </c>
      <c r="N419" s="1">
        <v>277.05</v>
      </c>
      <c r="O419" s="1">
        <f>(ordersTable[[#This Row],[Quantity]]*ordersTable[[#This Row],[UnitPrice]])-ordersTable[[#This Row],[TotalPrice]]</f>
        <v>0</v>
      </c>
    </row>
    <row r="420" spans="1:15" x14ac:dyDescent="0.3">
      <c r="A420" s="1" t="s">
        <v>432</v>
      </c>
      <c r="B420" s="2">
        <v>44937</v>
      </c>
      <c r="C420" s="3" t="s">
        <v>1632</v>
      </c>
      <c r="D420" s="1" t="s">
        <v>2407</v>
      </c>
      <c r="E420" s="5">
        <v>1</v>
      </c>
      <c r="F420" s="4">
        <v>310.93</v>
      </c>
      <c r="G420" s="1" t="s">
        <v>2743</v>
      </c>
      <c r="H420" s="1" t="s">
        <v>3066</v>
      </c>
      <c r="I420" s="1" t="s">
        <v>3071</v>
      </c>
      <c r="J420" s="1" t="s">
        <v>3493</v>
      </c>
      <c r="K420" s="1">
        <v>3</v>
      </c>
      <c r="M420" s="1" t="s">
        <v>4281</v>
      </c>
      <c r="N420" s="1">
        <v>310.93</v>
      </c>
      <c r="O420" s="1">
        <f>(ordersTable[[#This Row],[Quantity]]*ordersTable[[#This Row],[UnitPrice]])-ordersTable[[#This Row],[TotalPrice]]</f>
        <v>0</v>
      </c>
    </row>
    <row r="421" spans="1:15" x14ac:dyDescent="0.3">
      <c r="A421" s="1" t="s">
        <v>433</v>
      </c>
      <c r="B421" s="2">
        <v>45399</v>
      </c>
      <c r="C421" s="3" t="s">
        <v>1633</v>
      </c>
      <c r="D421" s="1" t="s">
        <v>2405</v>
      </c>
      <c r="E421" s="5">
        <v>2</v>
      </c>
      <c r="F421" s="4">
        <v>216.66</v>
      </c>
      <c r="G421" s="1" t="s">
        <v>2701</v>
      </c>
      <c r="H421" s="1" t="s">
        <v>3065</v>
      </c>
      <c r="I421" s="1" t="s">
        <v>3074</v>
      </c>
      <c r="J421" s="1" t="s">
        <v>3494</v>
      </c>
      <c r="K421" s="1">
        <v>6</v>
      </c>
      <c r="L421" s="1" t="s">
        <v>4276</v>
      </c>
      <c r="M421" s="1" t="s">
        <v>4278</v>
      </c>
      <c r="N421" s="1">
        <v>433.32</v>
      </c>
      <c r="O421" s="1">
        <f>(ordersTable[[#This Row],[Quantity]]*ordersTable[[#This Row],[UnitPrice]])-ordersTable[[#This Row],[TotalPrice]]</f>
        <v>0</v>
      </c>
    </row>
    <row r="422" spans="1:15" x14ac:dyDescent="0.3">
      <c r="A422" s="1" t="s">
        <v>434</v>
      </c>
      <c r="B422" s="2">
        <v>45625</v>
      </c>
      <c r="C422" s="3" t="s">
        <v>1634</v>
      </c>
      <c r="D422" s="1" t="s">
        <v>2404</v>
      </c>
      <c r="E422" s="5">
        <v>1</v>
      </c>
      <c r="F422" s="4">
        <v>452.7</v>
      </c>
      <c r="G422" s="1" t="s">
        <v>2744</v>
      </c>
      <c r="H422" s="1" t="s">
        <v>3065</v>
      </c>
      <c r="I422" s="1" t="s">
        <v>3070</v>
      </c>
      <c r="J422" s="1" t="s">
        <v>3495</v>
      </c>
      <c r="K422" s="1">
        <v>5</v>
      </c>
      <c r="L422" s="1" t="s">
        <v>4276</v>
      </c>
      <c r="M422" s="1" t="s">
        <v>4278</v>
      </c>
      <c r="N422" s="1">
        <v>452.7</v>
      </c>
      <c r="O422" s="1">
        <f>(ordersTable[[#This Row],[Quantity]]*ordersTable[[#This Row],[UnitPrice]])-ordersTable[[#This Row],[TotalPrice]]</f>
        <v>0</v>
      </c>
    </row>
    <row r="423" spans="1:15" x14ac:dyDescent="0.3">
      <c r="A423" s="1" t="s">
        <v>435</v>
      </c>
      <c r="B423" s="2">
        <v>45214</v>
      </c>
      <c r="C423" s="3" t="s">
        <v>1635</v>
      </c>
      <c r="D423" s="1" t="s">
        <v>2406</v>
      </c>
      <c r="E423" s="5">
        <v>2</v>
      </c>
      <c r="F423" s="4">
        <v>288.20999999999998</v>
      </c>
      <c r="G423" s="1" t="s">
        <v>2745</v>
      </c>
      <c r="H423" s="1" t="s">
        <v>3065</v>
      </c>
      <c r="I423" s="1" t="s">
        <v>3071</v>
      </c>
      <c r="J423" s="1" t="s">
        <v>3496</v>
      </c>
      <c r="K423" s="1">
        <v>5</v>
      </c>
      <c r="M423" s="1" t="s">
        <v>4280</v>
      </c>
      <c r="N423" s="1">
        <v>576.41999999999996</v>
      </c>
      <c r="O423" s="1">
        <f>(ordersTable[[#This Row],[Quantity]]*ordersTable[[#This Row],[UnitPrice]])-ordersTable[[#This Row],[TotalPrice]]</f>
        <v>0</v>
      </c>
    </row>
    <row r="424" spans="1:15" x14ac:dyDescent="0.3">
      <c r="A424" s="1" t="s">
        <v>436</v>
      </c>
      <c r="B424" s="2">
        <v>45082</v>
      </c>
      <c r="C424" s="3" t="s">
        <v>1636</v>
      </c>
      <c r="D424" s="1" t="s">
        <v>2404</v>
      </c>
      <c r="E424" s="5">
        <v>4</v>
      </c>
      <c r="F424" s="4">
        <v>206.6</v>
      </c>
      <c r="G424" s="1" t="s">
        <v>2426</v>
      </c>
      <c r="H424" s="1" t="s">
        <v>3068</v>
      </c>
      <c r="I424" s="1" t="s">
        <v>3072</v>
      </c>
      <c r="J424" s="1" t="s">
        <v>3497</v>
      </c>
      <c r="K424" s="1">
        <v>6</v>
      </c>
      <c r="L424" s="1" t="s">
        <v>4277</v>
      </c>
      <c r="M424" s="1" t="s">
        <v>4279</v>
      </c>
      <c r="N424" s="1">
        <v>826.4</v>
      </c>
      <c r="O424" s="1">
        <f>(ordersTable[[#This Row],[Quantity]]*ordersTable[[#This Row],[UnitPrice]])-ordersTable[[#This Row],[TotalPrice]]</f>
        <v>0</v>
      </c>
    </row>
    <row r="425" spans="1:15" x14ac:dyDescent="0.3">
      <c r="A425" s="1" t="s">
        <v>437</v>
      </c>
      <c r="B425" s="2">
        <v>45493</v>
      </c>
      <c r="C425" s="3" t="s">
        <v>1637</v>
      </c>
      <c r="D425" s="1" t="s">
        <v>2407</v>
      </c>
      <c r="E425" s="5">
        <v>4</v>
      </c>
      <c r="F425" s="4">
        <v>685.2</v>
      </c>
      <c r="G425" s="1" t="s">
        <v>2651</v>
      </c>
      <c r="H425" s="1" t="s">
        <v>3068</v>
      </c>
      <c r="I425" s="1" t="s">
        <v>3071</v>
      </c>
      <c r="J425" s="1" t="s">
        <v>3498</v>
      </c>
      <c r="K425" s="1">
        <v>6</v>
      </c>
      <c r="L425" s="1" t="s">
        <v>4277</v>
      </c>
      <c r="M425" s="1" t="s">
        <v>4282</v>
      </c>
      <c r="N425" s="1">
        <v>2740.8</v>
      </c>
      <c r="O425" s="1">
        <f>(ordersTable[[#This Row],[Quantity]]*ordersTable[[#This Row],[UnitPrice]])-ordersTable[[#This Row],[TotalPrice]]</f>
        <v>0</v>
      </c>
    </row>
    <row r="426" spans="1:15" x14ac:dyDescent="0.3">
      <c r="A426" s="1" t="s">
        <v>438</v>
      </c>
      <c r="B426" s="2">
        <v>45028</v>
      </c>
      <c r="C426" s="3" t="s">
        <v>1638</v>
      </c>
      <c r="D426" s="1" t="s">
        <v>2406</v>
      </c>
      <c r="E426" s="5">
        <v>5</v>
      </c>
      <c r="F426" s="4">
        <v>22.94</v>
      </c>
      <c r="G426" s="1" t="s">
        <v>2678</v>
      </c>
      <c r="H426" s="1" t="s">
        <v>3069</v>
      </c>
      <c r="I426" s="1" t="s">
        <v>3074</v>
      </c>
      <c r="J426" s="1" t="s">
        <v>3499</v>
      </c>
      <c r="K426" s="1">
        <v>10</v>
      </c>
      <c r="M426" s="1" t="s">
        <v>4280</v>
      </c>
      <c r="N426" s="1">
        <v>114.7</v>
      </c>
      <c r="O426" s="1">
        <f>(ordersTable[[#This Row],[Quantity]]*ordersTable[[#This Row],[UnitPrice]])-ordersTable[[#This Row],[TotalPrice]]</f>
        <v>0</v>
      </c>
    </row>
    <row r="427" spans="1:15" x14ac:dyDescent="0.3">
      <c r="A427" s="1" t="s">
        <v>439</v>
      </c>
      <c r="B427" s="2">
        <v>44994</v>
      </c>
      <c r="C427" s="3" t="s">
        <v>1639</v>
      </c>
      <c r="D427" s="1" t="s">
        <v>2408</v>
      </c>
      <c r="E427" s="5">
        <v>2</v>
      </c>
      <c r="F427" s="4">
        <v>301.88</v>
      </c>
      <c r="G427" s="1" t="s">
        <v>2746</v>
      </c>
      <c r="H427" s="1" t="s">
        <v>3068</v>
      </c>
      <c r="I427" s="1" t="s">
        <v>3072</v>
      </c>
      <c r="J427" s="1" t="s">
        <v>3500</v>
      </c>
      <c r="K427" s="1">
        <v>5</v>
      </c>
      <c r="L427" s="1" t="s">
        <v>4277</v>
      </c>
      <c r="M427" s="1" t="s">
        <v>4280</v>
      </c>
      <c r="N427" s="1">
        <v>603.76</v>
      </c>
      <c r="O427" s="1">
        <f>(ordersTable[[#This Row],[Quantity]]*ordersTable[[#This Row],[UnitPrice]])-ordersTable[[#This Row],[TotalPrice]]</f>
        <v>0</v>
      </c>
    </row>
    <row r="428" spans="1:15" x14ac:dyDescent="0.3">
      <c r="A428" s="1" t="s">
        <v>440</v>
      </c>
      <c r="B428" s="2">
        <v>45732</v>
      </c>
      <c r="C428" s="3" t="s">
        <v>1640</v>
      </c>
      <c r="D428" s="1" t="s">
        <v>2403</v>
      </c>
      <c r="E428" s="5">
        <v>5</v>
      </c>
      <c r="F428" s="4">
        <v>57.45</v>
      </c>
      <c r="G428" s="1" t="s">
        <v>2747</v>
      </c>
      <c r="H428" s="1" t="s">
        <v>3069</v>
      </c>
      <c r="I428" s="1" t="s">
        <v>3071</v>
      </c>
      <c r="J428" s="1" t="s">
        <v>3501</v>
      </c>
      <c r="K428" s="1">
        <v>10</v>
      </c>
      <c r="M428" s="1" t="s">
        <v>4281</v>
      </c>
      <c r="N428" s="1">
        <v>287.25</v>
      </c>
      <c r="O428" s="1">
        <f>(ordersTable[[#This Row],[Quantity]]*ordersTable[[#This Row],[UnitPrice]])-ordersTable[[#This Row],[TotalPrice]]</f>
        <v>0</v>
      </c>
    </row>
    <row r="429" spans="1:15" x14ac:dyDescent="0.3">
      <c r="A429" s="1" t="s">
        <v>441</v>
      </c>
      <c r="B429" s="2">
        <v>45644</v>
      </c>
      <c r="C429" s="3" t="s">
        <v>1641</v>
      </c>
      <c r="D429" s="1" t="s">
        <v>2409</v>
      </c>
      <c r="E429" s="5">
        <v>1</v>
      </c>
      <c r="F429" s="4">
        <v>161.24</v>
      </c>
      <c r="G429" s="1" t="s">
        <v>2748</v>
      </c>
      <c r="H429" s="1" t="s">
        <v>3067</v>
      </c>
      <c r="I429" s="1" t="s">
        <v>3074</v>
      </c>
      <c r="J429" s="1" t="s">
        <v>3502</v>
      </c>
      <c r="K429" s="1">
        <v>3</v>
      </c>
      <c r="L429" s="1" t="s">
        <v>4277</v>
      </c>
      <c r="M429" s="1" t="s">
        <v>4278</v>
      </c>
      <c r="N429" s="1">
        <v>161.24</v>
      </c>
      <c r="O429" s="1">
        <f>(ordersTable[[#This Row],[Quantity]]*ordersTable[[#This Row],[UnitPrice]])-ordersTable[[#This Row],[TotalPrice]]</f>
        <v>0</v>
      </c>
    </row>
    <row r="430" spans="1:15" x14ac:dyDescent="0.3">
      <c r="A430" s="1" t="s">
        <v>442</v>
      </c>
      <c r="B430" s="2">
        <v>45622</v>
      </c>
      <c r="C430" s="3" t="s">
        <v>1642</v>
      </c>
      <c r="D430" s="1" t="s">
        <v>2406</v>
      </c>
      <c r="E430" s="5">
        <v>4</v>
      </c>
      <c r="F430" s="4">
        <v>262.58</v>
      </c>
      <c r="G430" s="1" t="s">
        <v>2440</v>
      </c>
      <c r="H430" s="1" t="s">
        <v>3066</v>
      </c>
      <c r="I430" s="1" t="s">
        <v>3071</v>
      </c>
      <c r="J430" s="1" t="s">
        <v>3503</v>
      </c>
      <c r="K430" s="1">
        <v>8</v>
      </c>
      <c r="L430" s="1" t="s">
        <v>4277</v>
      </c>
      <c r="M430" s="1" t="s">
        <v>4280</v>
      </c>
      <c r="N430" s="1">
        <v>1050.32</v>
      </c>
      <c r="O430" s="1">
        <f>(ordersTable[[#This Row],[Quantity]]*ordersTable[[#This Row],[UnitPrice]])-ordersTable[[#This Row],[TotalPrice]]</f>
        <v>0</v>
      </c>
    </row>
    <row r="431" spans="1:15" x14ac:dyDescent="0.3">
      <c r="A431" s="1" t="s">
        <v>443</v>
      </c>
      <c r="B431" s="2">
        <v>45645</v>
      </c>
      <c r="C431" s="3" t="s">
        <v>1643</v>
      </c>
      <c r="D431" s="1" t="s">
        <v>2407</v>
      </c>
      <c r="E431" s="5">
        <v>4</v>
      </c>
      <c r="F431" s="4">
        <v>515.19000000000005</v>
      </c>
      <c r="G431" s="1" t="s">
        <v>2511</v>
      </c>
      <c r="H431" s="1" t="s">
        <v>3067</v>
      </c>
      <c r="I431" s="1" t="s">
        <v>3074</v>
      </c>
      <c r="J431" s="1" t="s">
        <v>3504</v>
      </c>
      <c r="K431" s="1">
        <v>9</v>
      </c>
      <c r="L431" s="1" t="s">
        <v>4275</v>
      </c>
      <c r="M431" s="1" t="s">
        <v>4281</v>
      </c>
      <c r="N431" s="1">
        <v>2060.7600000000002</v>
      </c>
      <c r="O431" s="1">
        <f>(ordersTable[[#This Row],[Quantity]]*ordersTable[[#This Row],[UnitPrice]])-ordersTable[[#This Row],[TotalPrice]]</f>
        <v>0</v>
      </c>
    </row>
    <row r="432" spans="1:15" x14ac:dyDescent="0.3">
      <c r="A432" s="1" t="s">
        <v>444</v>
      </c>
      <c r="B432" s="2">
        <v>45084</v>
      </c>
      <c r="C432" s="3" t="s">
        <v>1644</v>
      </c>
      <c r="D432" s="1" t="s">
        <v>2404</v>
      </c>
      <c r="E432" s="5">
        <v>1</v>
      </c>
      <c r="F432" s="4">
        <v>450.07</v>
      </c>
      <c r="G432" s="1" t="s">
        <v>2749</v>
      </c>
      <c r="H432" s="1" t="s">
        <v>3068</v>
      </c>
      <c r="I432" s="1" t="s">
        <v>3070</v>
      </c>
      <c r="J432" s="1" t="s">
        <v>3505</v>
      </c>
      <c r="K432" s="1">
        <v>6</v>
      </c>
      <c r="L432" s="1" t="s">
        <v>4276</v>
      </c>
      <c r="M432" s="1" t="s">
        <v>4282</v>
      </c>
      <c r="N432" s="1">
        <v>450.07</v>
      </c>
      <c r="O432" s="1">
        <f>(ordersTable[[#This Row],[Quantity]]*ordersTable[[#This Row],[UnitPrice]])-ordersTable[[#This Row],[TotalPrice]]</f>
        <v>0</v>
      </c>
    </row>
    <row r="433" spans="1:15" x14ac:dyDescent="0.3">
      <c r="A433" s="1" t="s">
        <v>445</v>
      </c>
      <c r="B433" s="2">
        <v>45571</v>
      </c>
      <c r="C433" s="3" t="s">
        <v>1645</v>
      </c>
      <c r="D433" s="1" t="s">
        <v>2407</v>
      </c>
      <c r="E433" s="5">
        <v>1</v>
      </c>
      <c r="F433" s="4">
        <v>52.54</v>
      </c>
      <c r="G433" s="1" t="s">
        <v>2553</v>
      </c>
      <c r="H433" s="1" t="s">
        <v>3065</v>
      </c>
      <c r="I433" s="1" t="s">
        <v>3071</v>
      </c>
      <c r="J433" s="1" t="s">
        <v>3506</v>
      </c>
      <c r="K433" s="1">
        <v>6</v>
      </c>
      <c r="L433" s="1" t="s">
        <v>4277</v>
      </c>
      <c r="M433" s="1" t="s">
        <v>4281</v>
      </c>
      <c r="N433" s="1">
        <v>52.54</v>
      </c>
      <c r="O433" s="1">
        <f>(ordersTable[[#This Row],[Quantity]]*ordersTable[[#This Row],[UnitPrice]])-ordersTable[[#This Row],[TotalPrice]]</f>
        <v>0</v>
      </c>
    </row>
    <row r="434" spans="1:15" x14ac:dyDescent="0.3">
      <c r="A434" s="1" t="s">
        <v>446</v>
      </c>
      <c r="B434" s="2">
        <v>45173</v>
      </c>
      <c r="C434" s="3" t="s">
        <v>1646</v>
      </c>
      <c r="D434" s="1" t="s">
        <v>2405</v>
      </c>
      <c r="E434" s="5">
        <v>2</v>
      </c>
      <c r="F434" s="4">
        <v>424.32</v>
      </c>
      <c r="G434" s="1" t="s">
        <v>2750</v>
      </c>
      <c r="H434" s="1" t="s">
        <v>3067</v>
      </c>
      <c r="I434" s="1" t="s">
        <v>3072</v>
      </c>
      <c r="J434" s="1" t="s">
        <v>3507</v>
      </c>
      <c r="K434" s="1">
        <v>6</v>
      </c>
      <c r="M434" s="1" t="s">
        <v>4279</v>
      </c>
      <c r="N434" s="1">
        <v>848.64</v>
      </c>
      <c r="O434" s="1">
        <f>(ordersTable[[#This Row],[Quantity]]*ordersTable[[#This Row],[UnitPrice]])-ordersTable[[#This Row],[TotalPrice]]</f>
        <v>0</v>
      </c>
    </row>
    <row r="435" spans="1:15" x14ac:dyDescent="0.3">
      <c r="A435" s="1" t="s">
        <v>447</v>
      </c>
      <c r="B435" s="2">
        <v>45164</v>
      </c>
      <c r="C435" s="3" t="s">
        <v>1647</v>
      </c>
      <c r="D435" s="1" t="s">
        <v>2403</v>
      </c>
      <c r="E435" s="5">
        <v>3</v>
      </c>
      <c r="F435" s="4">
        <v>631.64</v>
      </c>
      <c r="G435" s="1" t="s">
        <v>2624</v>
      </c>
      <c r="H435" s="1" t="s">
        <v>3067</v>
      </c>
      <c r="I435" s="1" t="s">
        <v>3072</v>
      </c>
      <c r="J435" s="1" t="s">
        <v>3508</v>
      </c>
      <c r="K435" s="1">
        <v>3</v>
      </c>
      <c r="L435" s="1" t="s">
        <v>4276</v>
      </c>
      <c r="M435" s="1" t="s">
        <v>4281</v>
      </c>
      <c r="N435" s="1">
        <v>1894.92</v>
      </c>
      <c r="O435" s="1">
        <f>(ordersTable[[#This Row],[Quantity]]*ordersTable[[#This Row],[UnitPrice]])-ordersTable[[#This Row],[TotalPrice]]</f>
        <v>0</v>
      </c>
    </row>
    <row r="436" spans="1:15" x14ac:dyDescent="0.3">
      <c r="A436" s="1" t="s">
        <v>448</v>
      </c>
      <c r="B436" s="2">
        <v>45221</v>
      </c>
      <c r="C436" s="3" t="s">
        <v>1648</v>
      </c>
      <c r="D436" s="1" t="s">
        <v>2407</v>
      </c>
      <c r="E436" s="5">
        <v>5</v>
      </c>
      <c r="F436" s="4">
        <v>327.68</v>
      </c>
      <c r="G436" s="1" t="s">
        <v>2475</v>
      </c>
      <c r="H436" s="1" t="s">
        <v>3067</v>
      </c>
      <c r="I436" s="1" t="s">
        <v>3072</v>
      </c>
      <c r="J436" s="1" t="s">
        <v>3509</v>
      </c>
      <c r="K436" s="1">
        <v>6</v>
      </c>
      <c r="M436" s="1" t="s">
        <v>4281</v>
      </c>
      <c r="N436" s="1">
        <v>1638.4</v>
      </c>
      <c r="O436" s="1">
        <f>(ordersTable[[#This Row],[Quantity]]*ordersTable[[#This Row],[UnitPrice]])-ordersTable[[#This Row],[TotalPrice]]</f>
        <v>0</v>
      </c>
    </row>
    <row r="437" spans="1:15" x14ac:dyDescent="0.3">
      <c r="A437" s="1" t="s">
        <v>449</v>
      </c>
      <c r="B437" s="2">
        <v>45073</v>
      </c>
      <c r="C437" s="3" t="s">
        <v>1649</v>
      </c>
      <c r="D437" s="1" t="s">
        <v>2407</v>
      </c>
      <c r="E437" s="5">
        <v>1</v>
      </c>
      <c r="F437" s="4">
        <v>414.47</v>
      </c>
      <c r="G437" s="1" t="s">
        <v>2677</v>
      </c>
      <c r="H437" s="1" t="s">
        <v>3065</v>
      </c>
      <c r="I437" s="1" t="s">
        <v>3072</v>
      </c>
      <c r="J437" s="1" t="s">
        <v>3510</v>
      </c>
      <c r="K437" s="1">
        <v>3</v>
      </c>
      <c r="L437" s="1" t="s">
        <v>4276</v>
      </c>
      <c r="M437" s="1" t="s">
        <v>4278</v>
      </c>
      <c r="N437" s="1">
        <v>414.47</v>
      </c>
      <c r="O437" s="1">
        <f>(ordersTable[[#This Row],[Quantity]]*ordersTable[[#This Row],[UnitPrice]])-ordersTable[[#This Row],[TotalPrice]]</f>
        <v>0</v>
      </c>
    </row>
    <row r="438" spans="1:15" x14ac:dyDescent="0.3">
      <c r="A438" s="1" t="s">
        <v>450</v>
      </c>
      <c r="B438" s="2">
        <v>44968</v>
      </c>
      <c r="C438" s="3" t="s">
        <v>1650</v>
      </c>
      <c r="D438" s="1" t="s">
        <v>2408</v>
      </c>
      <c r="E438" s="5">
        <v>4</v>
      </c>
      <c r="F438" s="4">
        <v>221.33</v>
      </c>
      <c r="G438" s="1" t="s">
        <v>2553</v>
      </c>
      <c r="H438" s="1" t="s">
        <v>3066</v>
      </c>
      <c r="I438" s="1" t="s">
        <v>3074</v>
      </c>
      <c r="J438" s="1" t="s">
        <v>3511</v>
      </c>
      <c r="K438" s="1">
        <v>5</v>
      </c>
      <c r="M438" s="1" t="s">
        <v>4282</v>
      </c>
      <c r="N438" s="1">
        <v>885.32</v>
      </c>
      <c r="O438" s="1">
        <f>(ordersTable[[#This Row],[Quantity]]*ordersTable[[#This Row],[UnitPrice]])-ordersTable[[#This Row],[TotalPrice]]</f>
        <v>0</v>
      </c>
    </row>
    <row r="439" spans="1:15" x14ac:dyDescent="0.3">
      <c r="A439" s="1" t="s">
        <v>451</v>
      </c>
      <c r="B439" s="2">
        <v>45400</v>
      </c>
      <c r="C439" s="3" t="s">
        <v>1651</v>
      </c>
      <c r="D439" s="1" t="s">
        <v>2404</v>
      </c>
      <c r="E439" s="5">
        <v>1</v>
      </c>
      <c r="F439" s="4">
        <v>512.39</v>
      </c>
      <c r="G439" s="1" t="s">
        <v>2751</v>
      </c>
      <c r="H439" s="1" t="s">
        <v>3066</v>
      </c>
      <c r="I439" s="1" t="s">
        <v>3073</v>
      </c>
      <c r="J439" s="1" t="s">
        <v>3512</v>
      </c>
      <c r="K439" s="1">
        <v>2</v>
      </c>
      <c r="L439" s="1" t="s">
        <v>4276</v>
      </c>
      <c r="M439" s="1" t="s">
        <v>4278</v>
      </c>
      <c r="N439" s="1">
        <v>512.39</v>
      </c>
      <c r="O439" s="1">
        <f>(ordersTable[[#This Row],[Quantity]]*ordersTable[[#This Row],[UnitPrice]])-ordersTable[[#This Row],[TotalPrice]]</f>
        <v>0</v>
      </c>
    </row>
    <row r="440" spans="1:15" x14ac:dyDescent="0.3">
      <c r="A440" s="1" t="s">
        <v>452</v>
      </c>
      <c r="B440" s="2">
        <v>45660</v>
      </c>
      <c r="C440" s="3" t="s">
        <v>1652</v>
      </c>
      <c r="D440" s="1" t="s">
        <v>2405</v>
      </c>
      <c r="E440" s="5">
        <v>3</v>
      </c>
      <c r="F440" s="4">
        <v>459.34</v>
      </c>
      <c r="G440" s="1" t="s">
        <v>2752</v>
      </c>
      <c r="H440" s="1" t="s">
        <v>3068</v>
      </c>
      <c r="I440" s="1" t="s">
        <v>3074</v>
      </c>
      <c r="J440" s="1" t="s">
        <v>3513</v>
      </c>
      <c r="K440" s="1">
        <v>3</v>
      </c>
      <c r="L440" s="1" t="s">
        <v>4275</v>
      </c>
      <c r="M440" s="1" t="s">
        <v>4278</v>
      </c>
      <c r="N440" s="1">
        <v>1378.02</v>
      </c>
      <c r="O440" s="1">
        <f>(ordersTable[[#This Row],[Quantity]]*ordersTable[[#This Row],[UnitPrice]])-ordersTable[[#This Row],[TotalPrice]]</f>
        <v>0</v>
      </c>
    </row>
    <row r="441" spans="1:15" x14ac:dyDescent="0.3">
      <c r="A441" s="1" t="s">
        <v>453</v>
      </c>
      <c r="B441" s="2">
        <v>45543</v>
      </c>
      <c r="C441" s="3" t="s">
        <v>1653</v>
      </c>
      <c r="D441" s="1" t="s">
        <v>2405</v>
      </c>
      <c r="E441" s="5">
        <v>1</v>
      </c>
      <c r="F441" s="4">
        <v>146.32</v>
      </c>
      <c r="G441" s="1" t="s">
        <v>2753</v>
      </c>
      <c r="H441" s="1" t="s">
        <v>3066</v>
      </c>
      <c r="I441" s="1" t="s">
        <v>3070</v>
      </c>
      <c r="J441" s="1" t="s">
        <v>3514</v>
      </c>
      <c r="K441" s="1">
        <v>4</v>
      </c>
      <c r="L441" s="1" t="s">
        <v>4277</v>
      </c>
      <c r="M441" s="1" t="s">
        <v>4281</v>
      </c>
      <c r="N441" s="1">
        <v>146.32</v>
      </c>
      <c r="O441" s="1">
        <f>(ordersTable[[#This Row],[Quantity]]*ordersTable[[#This Row],[UnitPrice]])-ordersTable[[#This Row],[TotalPrice]]</f>
        <v>0</v>
      </c>
    </row>
    <row r="442" spans="1:15" x14ac:dyDescent="0.3">
      <c r="A442" s="1" t="s">
        <v>454</v>
      </c>
      <c r="B442" s="2">
        <v>45601</v>
      </c>
      <c r="C442" s="3" t="s">
        <v>1654</v>
      </c>
      <c r="D442" s="1" t="s">
        <v>2409</v>
      </c>
      <c r="E442" s="5">
        <v>4</v>
      </c>
      <c r="F442" s="4">
        <v>83.6</v>
      </c>
      <c r="G442" s="1" t="s">
        <v>2674</v>
      </c>
      <c r="H442" s="1" t="s">
        <v>3065</v>
      </c>
      <c r="I442" s="1" t="s">
        <v>3074</v>
      </c>
      <c r="J442" s="1" t="s">
        <v>3515</v>
      </c>
      <c r="K442" s="1">
        <v>4</v>
      </c>
      <c r="L442" s="1" t="s">
        <v>4275</v>
      </c>
      <c r="M442" s="1" t="s">
        <v>4281</v>
      </c>
      <c r="N442" s="1">
        <v>334.4</v>
      </c>
      <c r="O442" s="1">
        <f>(ordersTable[[#This Row],[Quantity]]*ordersTable[[#This Row],[UnitPrice]])-ordersTable[[#This Row],[TotalPrice]]</f>
        <v>0</v>
      </c>
    </row>
    <row r="443" spans="1:15" x14ac:dyDescent="0.3">
      <c r="A443" s="1" t="s">
        <v>455</v>
      </c>
      <c r="B443" s="2">
        <v>45273</v>
      </c>
      <c r="C443" s="3" t="s">
        <v>1655</v>
      </c>
      <c r="D443" s="1" t="s">
        <v>2407</v>
      </c>
      <c r="E443" s="5">
        <v>2</v>
      </c>
      <c r="F443" s="4">
        <v>328.54</v>
      </c>
      <c r="G443" s="1" t="s">
        <v>2754</v>
      </c>
      <c r="H443" s="1" t="s">
        <v>3068</v>
      </c>
      <c r="I443" s="1" t="s">
        <v>3072</v>
      </c>
      <c r="J443" s="1" t="s">
        <v>3516</v>
      </c>
      <c r="K443" s="1">
        <v>6</v>
      </c>
      <c r="L443" s="1" t="s">
        <v>4276</v>
      </c>
      <c r="M443" s="1" t="s">
        <v>4280</v>
      </c>
      <c r="N443" s="1">
        <v>657.08</v>
      </c>
      <c r="O443" s="1">
        <f>(ordersTable[[#This Row],[Quantity]]*ordersTable[[#This Row],[UnitPrice]])-ordersTable[[#This Row],[TotalPrice]]</f>
        <v>0</v>
      </c>
    </row>
    <row r="444" spans="1:15" x14ac:dyDescent="0.3">
      <c r="A444" s="1" t="s">
        <v>456</v>
      </c>
      <c r="B444" s="2">
        <v>45418</v>
      </c>
      <c r="C444" s="3" t="s">
        <v>1656</v>
      </c>
      <c r="D444" s="1" t="s">
        <v>2406</v>
      </c>
      <c r="E444" s="5">
        <v>5</v>
      </c>
      <c r="F444" s="4">
        <v>314.94</v>
      </c>
      <c r="G444" s="1" t="s">
        <v>2755</v>
      </c>
      <c r="H444" s="1" t="s">
        <v>3069</v>
      </c>
      <c r="I444" s="1" t="s">
        <v>3074</v>
      </c>
      <c r="J444" s="1" t="s">
        <v>3517</v>
      </c>
      <c r="K444" s="1">
        <v>8</v>
      </c>
      <c r="L444" s="1" t="s">
        <v>4275</v>
      </c>
      <c r="M444" s="1" t="s">
        <v>4278</v>
      </c>
      <c r="N444" s="1">
        <v>1574.7</v>
      </c>
      <c r="O444" s="1">
        <f>(ordersTable[[#This Row],[Quantity]]*ordersTable[[#This Row],[UnitPrice]])-ordersTable[[#This Row],[TotalPrice]]</f>
        <v>0</v>
      </c>
    </row>
    <row r="445" spans="1:15" x14ac:dyDescent="0.3">
      <c r="A445" s="1" t="s">
        <v>457</v>
      </c>
      <c r="B445" s="2">
        <v>45426</v>
      </c>
      <c r="C445" s="3" t="s">
        <v>1657</v>
      </c>
      <c r="D445" s="1" t="s">
        <v>2406</v>
      </c>
      <c r="E445" s="5">
        <v>2</v>
      </c>
      <c r="F445" s="4">
        <v>69.64</v>
      </c>
      <c r="G445" s="1" t="s">
        <v>2469</v>
      </c>
      <c r="H445" s="1" t="s">
        <v>3069</v>
      </c>
      <c r="I445" s="1" t="s">
        <v>3072</v>
      </c>
      <c r="J445" s="1" t="s">
        <v>3518</v>
      </c>
      <c r="K445" s="1">
        <v>6</v>
      </c>
      <c r="M445" s="1" t="s">
        <v>4281</v>
      </c>
      <c r="N445" s="1">
        <v>139.28</v>
      </c>
      <c r="O445" s="1">
        <f>(ordersTable[[#This Row],[Quantity]]*ordersTable[[#This Row],[UnitPrice]])-ordersTable[[#This Row],[TotalPrice]]</f>
        <v>0</v>
      </c>
    </row>
    <row r="446" spans="1:15" x14ac:dyDescent="0.3">
      <c r="A446" s="1" t="s">
        <v>458</v>
      </c>
      <c r="B446" s="2">
        <v>45451</v>
      </c>
      <c r="C446" s="3" t="s">
        <v>1658</v>
      </c>
      <c r="D446" s="1" t="s">
        <v>2407</v>
      </c>
      <c r="E446" s="5">
        <v>1</v>
      </c>
      <c r="F446" s="4">
        <v>135.16999999999999</v>
      </c>
      <c r="G446" s="1" t="s">
        <v>2756</v>
      </c>
      <c r="H446" s="1" t="s">
        <v>3066</v>
      </c>
      <c r="I446" s="1" t="s">
        <v>3070</v>
      </c>
      <c r="J446" s="1" t="s">
        <v>3519</v>
      </c>
      <c r="K446" s="1">
        <v>6</v>
      </c>
      <c r="L446" s="1" t="s">
        <v>4276</v>
      </c>
      <c r="M446" s="1" t="s">
        <v>4278</v>
      </c>
      <c r="N446" s="1">
        <v>135.16999999999999</v>
      </c>
      <c r="O446" s="1">
        <f>(ordersTable[[#This Row],[Quantity]]*ordersTable[[#This Row],[UnitPrice]])-ordersTable[[#This Row],[TotalPrice]]</f>
        <v>0</v>
      </c>
    </row>
    <row r="447" spans="1:15" x14ac:dyDescent="0.3">
      <c r="A447" s="1" t="s">
        <v>459</v>
      </c>
      <c r="B447" s="2">
        <v>45374</v>
      </c>
      <c r="C447" s="3" t="s">
        <v>1659</v>
      </c>
      <c r="D447" s="1" t="s">
        <v>2404</v>
      </c>
      <c r="E447" s="5">
        <v>1</v>
      </c>
      <c r="F447" s="4">
        <v>487.21</v>
      </c>
      <c r="G447" s="1" t="s">
        <v>2757</v>
      </c>
      <c r="H447" s="1" t="s">
        <v>3069</v>
      </c>
      <c r="I447" s="1" t="s">
        <v>3073</v>
      </c>
      <c r="J447" s="1" t="s">
        <v>3520</v>
      </c>
      <c r="K447" s="1">
        <v>3</v>
      </c>
      <c r="L447" s="1" t="s">
        <v>4275</v>
      </c>
      <c r="M447" s="1" t="s">
        <v>4279</v>
      </c>
      <c r="N447" s="1">
        <v>487.21</v>
      </c>
      <c r="O447" s="1">
        <f>(ordersTable[[#This Row],[Quantity]]*ordersTable[[#This Row],[UnitPrice]])-ordersTable[[#This Row],[TotalPrice]]</f>
        <v>0</v>
      </c>
    </row>
    <row r="448" spans="1:15" x14ac:dyDescent="0.3">
      <c r="A448" s="1" t="s">
        <v>460</v>
      </c>
      <c r="B448" s="2">
        <v>45217</v>
      </c>
      <c r="C448" s="3" t="s">
        <v>1660</v>
      </c>
      <c r="D448" s="1" t="s">
        <v>2408</v>
      </c>
      <c r="E448" s="5">
        <v>5</v>
      </c>
      <c r="F448" s="4">
        <v>509.58</v>
      </c>
      <c r="G448" s="1" t="s">
        <v>2758</v>
      </c>
      <c r="H448" s="1" t="s">
        <v>3066</v>
      </c>
      <c r="I448" s="1" t="s">
        <v>3073</v>
      </c>
      <c r="J448" s="1" t="s">
        <v>3521</v>
      </c>
      <c r="K448" s="1">
        <v>6</v>
      </c>
      <c r="L448" s="1" t="s">
        <v>4276</v>
      </c>
      <c r="M448" s="1" t="s">
        <v>4278</v>
      </c>
      <c r="N448" s="1">
        <v>2547.9</v>
      </c>
      <c r="O448" s="1">
        <f>(ordersTable[[#This Row],[Quantity]]*ordersTable[[#This Row],[UnitPrice]])-ordersTable[[#This Row],[TotalPrice]]</f>
        <v>0</v>
      </c>
    </row>
    <row r="449" spans="1:15" x14ac:dyDescent="0.3">
      <c r="A449" s="1" t="s">
        <v>461</v>
      </c>
      <c r="B449" s="2">
        <v>45389</v>
      </c>
      <c r="C449" s="3" t="s">
        <v>1661</v>
      </c>
      <c r="D449" s="1" t="s">
        <v>2407</v>
      </c>
      <c r="E449" s="5">
        <v>2</v>
      </c>
      <c r="F449" s="4">
        <v>416.81</v>
      </c>
      <c r="G449" s="1" t="s">
        <v>2759</v>
      </c>
      <c r="H449" s="1" t="s">
        <v>3069</v>
      </c>
      <c r="I449" s="1" t="s">
        <v>3072</v>
      </c>
      <c r="J449" s="1" t="s">
        <v>3522</v>
      </c>
      <c r="K449" s="1">
        <v>2</v>
      </c>
      <c r="M449" s="1" t="s">
        <v>4281</v>
      </c>
      <c r="N449" s="1">
        <v>833.62</v>
      </c>
      <c r="O449" s="1">
        <f>(ordersTable[[#This Row],[Quantity]]*ordersTable[[#This Row],[UnitPrice]])-ordersTable[[#This Row],[TotalPrice]]</f>
        <v>0</v>
      </c>
    </row>
    <row r="450" spans="1:15" x14ac:dyDescent="0.3">
      <c r="A450" s="1" t="s">
        <v>462</v>
      </c>
      <c r="B450" s="2">
        <v>45173</v>
      </c>
      <c r="C450" s="3" t="s">
        <v>1662</v>
      </c>
      <c r="D450" s="1" t="s">
        <v>2408</v>
      </c>
      <c r="E450" s="5">
        <v>2</v>
      </c>
      <c r="F450" s="4">
        <v>160</v>
      </c>
      <c r="G450" s="1" t="s">
        <v>2760</v>
      </c>
      <c r="H450" s="1" t="s">
        <v>3069</v>
      </c>
      <c r="I450" s="1" t="s">
        <v>3074</v>
      </c>
      <c r="J450" s="1" t="s">
        <v>3523</v>
      </c>
      <c r="K450" s="1">
        <v>4</v>
      </c>
      <c r="L450" s="1" t="s">
        <v>4275</v>
      </c>
      <c r="M450" s="1" t="s">
        <v>4278</v>
      </c>
      <c r="N450" s="1">
        <v>320</v>
      </c>
      <c r="O450" s="1">
        <f>(ordersTable[[#This Row],[Quantity]]*ordersTable[[#This Row],[UnitPrice]])-ordersTable[[#This Row],[TotalPrice]]</f>
        <v>0</v>
      </c>
    </row>
    <row r="451" spans="1:15" x14ac:dyDescent="0.3">
      <c r="A451" s="1" t="s">
        <v>463</v>
      </c>
      <c r="B451" s="2">
        <v>45530</v>
      </c>
      <c r="C451" s="3" t="s">
        <v>1663</v>
      </c>
      <c r="D451" s="1" t="s">
        <v>2405</v>
      </c>
      <c r="E451" s="5">
        <v>3</v>
      </c>
      <c r="F451" s="4">
        <v>253.05</v>
      </c>
      <c r="G451" s="1" t="s">
        <v>2761</v>
      </c>
      <c r="H451" s="1" t="s">
        <v>3066</v>
      </c>
      <c r="I451" s="1" t="s">
        <v>3074</v>
      </c>
      <c r="J451" s="1" t="s">
        <v>3524</v>
      </c>
      <c r="K451" s="1">
        <v>3</v>
      </c>
      <c r="M451" s="1" t="s">
        <v>4278</v>
      </c>
      <c r="N451" s="1">
        <v>759.15000000000009</v>
      </c>
      <c r="O451" s="1">
        <f>(ordersTable[[#This Row],[Quantity]]*ordersTable[[#This Row],[UnitPrice]])-ordersTable[[#This Row],[TotalPrice]]</f>
        <v>0</v>
      </c>
    </row>
    <row r="452" spans="1:15" x14ac:dyDescent="0.3">
      <c r="A452" s="1" t="s">
        <v>464</v>
      </c>
      <c r="B452" s="2">
        <v>45306</v>
      </c>
      <c r="C452" s="3" t="s">
        <v>1664</v>
      </c>
      <c r="D452" s="1" t="s">
        <v>2403</v>
      </c>
      <c r="E452" s="5">
        <v>5</v>
      </c>
      <c r="F452" s="4">
        <v>615.1</v>
      </c>
      <c r="G452" s="1" t="s">
        <v>2762</v>
      </c>
      <c r="H452" s="1" t="s">
        <v>3068</v>
      </c>
      <c r="I452" s="1" t="s">
        <v>3072</v>
      </c>
      <c r="J452" s="1" t="s">
        <v>3525</v>
      </c>
      <c r="K452" s="1">
        <v>10</v>
      </c>
      <c r="L452" s="1" t="s">
        <v>4277</v>
      </c>
      <c r="M452" s="1" t="s">
        <v>4278</v>
      </c>
      <c r="N452" s="1">
        <v>3075.5</v>
      </c>
      <c r="O452" s="1">
        <f>(ordersTable[[#This Row],[Quantity]]*ordersTable[[#This Row],[UnitPrice]])-ordersTable[[#This Row],[TotalPrice]]</f>
        <v>0</v>
      </c>
    </row>
    <row r="453" spans="1:15" x14ac:dyDescent="0.3">
      <c r="A453" s="1" t="s">
        <v>465</v>
      </c>
      <c r="B453" s="2">
        <v>45017</v>
      </c>
      <c r="C453" s="3" t="s">
        <v>1665</v>
      </c>
      <c r="D453" s="1" t="s">
        <v>2403</v>
      </c>
      <c r="E453" s="5">
        <v>1</v>
      </c>
      <c r="F453" s="4">
        <v>183.18</v>
      </c>
      <c r="G453" s="1" t="s">
        <v>2507</v>
      </c>
      <c r="H453" s="1" t="s">
        <v>3065</v>
      </c>
      <c r="I453" s="1" t="s">
        <v>3071</v>
      </c>
      <c r="J453" s="1" t="s">
        <v>3526</v>
      </c>
      <c r="K453" s="1">
        <v>6</v>
      </c>
      <c r="L453" s="1" t="s">
        <v>4275</v>
      </c>
      <c r="M453" s="1" t="s">
        <v>4280</v>
      </c>
      <c r="N453" s="1">
        <v>183.18</v>
      </c>
      <c r="O453" s="1">
        <f>(ordersTable[[#This Row],[Quantity]]*ordersTable[[#This Row],[UnitPrice]])-ordersTable[[#This Row],[TotalPrice]]</f>
        <v>0</v>
      </c>
    </row>
    <row r="454" spans="1:15" x14ac:dyDescent="0.3">
      <c r="A454" s="1" t="s">
        <v>466</v>
      </c>
      <c r="B454" s="2">
        <v>45130</v>
      </c>
      <c r="C454" s="3" t="s">
        <v>1666</v>
      </c>
      <c r="D454" s="1" t="s">
        <v>2407</v>
      </c>
      <c r="E454" s="5">
        <v>1</v>
      </c>
      <c r="F454" s="4">
        <v>75.78</v>
      </c>
      <c r="G454" s="1" t="s">
        <v>2763</v>
      </c>
      <c r="H454" s="1" t="s">
        <v>3069</v>
      </c>
      <c r="I454" s="1" t="s">
        <v>3074</v>
      </c>
      <c r="J454" s="1" t="s">
        <v>3527</v>
      </c>
      <c r="K454" s="1">
        <v>5</v>
      </c>
      <c r="L454" s="1" t="s">
        <v>4275</v>
      </c>
      <c r="M454" s="1" t="s">
        <v>4282</v>
      </c>
      <c r="N454" s="1">
        <v>75.78</v>
      </c>
      <c r="O454" s="1">
        <f>(ordersTable[[#This Row],[Quantity]]*ordersTable[[#This Row],[UnitPrice]])-ordersTable[[#This Row],[TotalPrice]]</f>
        <v>0</v>
      </c>
    </row>
    <row r="455" spans="1:15" x14ac:dyDescent="0.3">
      <c r="A455" s="1" t="s">
        <v>467</v>
      </c>
      <c r="B455" s="2">
        <v>45779</v>
      </c>
      <c r="C455" s="3" t="s">
        <v>1667</v>
      </c>
      <c r="D455" s="1" t="s">
        <v>2405</v>
      </c>
      <c r="E455" s="5">
        <v>1</v>
      </c>
      <c r="F455" s="4">
        <v>675.57</v>
      </c>
      <c r="G455" s="1" t="s">
        <v>2764</v>
      </c>
      <c r="H455" s="1" t="s">
        <v>3069</v>
      </c>
      <c r="I455" s="1" t="s">
        <v>3070</v>
      </c>
      <c r="J455" s="1" t="s">
        <v>3528</v>
      </c>
      <c r="K455" s="1">
        <v>1</v>
      </c>
      <c r="L455" s="1" t="s">
        <v>4277</v>
      </c>
      <c r="M455" s="1" t="s">
        <v>4281</v>
      </c>
      <c r="N455" s="1">
        <v>675.57</v>
      </c>
      <c r="O455" s="1">
        <f>(ordersTable[[#This Row],[Quantity]]*ordersTable[[#This Row],[UnitPrice]])-ordersTable[[#This Row],[TotalPrice]]</f>
        <v>0</v>
      </c>
    </row>
    <row r="456" spans="1:15" x14ac:dyDescent="0.3">
      <c r="A456" s="1" t="s">
        <v>468</v>
      </c>
      <c r="B456" s="2">
        <v>45623</v>
      </c>
      <c r="C456" s="3" t="s">
        <v>1668</v>
      </c>
      <c r="D456" s="1" t="s">
        <v>2408</v>
      </c>
      <c r="E456" s="5">
        <v>1</v>
      </c>
      <c r="F456" s="4">
        <v>109.29</v>
      </c>
      <c r="G456" s="1" t="s">
        <v>2765</v>
      </c>
      <c r="H456" s="1" t="s">
        <v>3065</v>
      </c>
      <c r="I456" s="1" t="s">
        <v>3071</v>
      </c>
      <c r="J456" s="1" t="s">
        <v>3529</v>
      </c>
      <c r="K456" s="1">
        <v>5</v>
      </c>
      <c r="L456" s="1" t="s">
        <v>4276</v>
      </c>
      <c r="M456" s="1" t="s">
        <v>4282</v>
      </c>
      <c r="N456" s="1">
        <v>109.29</v>
      </c>
      <c r="O456" s="1">
        <f>(ordersTable[[#This Row],[Quantity]]*ordersTable[[#This Row],[UnitPrice]])-ordersTable[[#This Row],[TotalPrice]]</f>
        <v>0</v>
      </c>
    </row>
    <row r="457" spans="1:15" x14ac:dyDescent="0.3">
      <c r="A457" s="1" t="s">
        <v>469</v>
      </c>
      <c r="B457" s="2">
        <v>45377</v>
      </c>
      <c r="C457" s="3" t="s">
        <v>1669</v>
      </c>
      <c r="D457" s="1" t="s">
        <v>2404</v>
      </c>
      <c r="E457" s="5">
        <v>1</v>
      </c>
      <c r="F457" s="4">
        <v>639.83000000000004</v>
      </c>
      <c r="G457" s="1" t="s">
        <v>2766</v>
      </c>
      <c r="H457" s="1" t="s">
        <v>3065</v>
      </c>
      <c r="I457" s="1" t="s">
        <v>3074</v>
      </c>
      <c r="J457" s="1" t="s">
        <v>3530</v>
      </c>
      <c r="K457" s="1">
        <v>2</v>
      </c>
      <c r="L457" s="1" t="s">
        <v>4275</v>
      </c>
      <c r="M457" s="1" t="s">
        <v>4279</v>
      </c>
      <c r="N457" s="1">
        <v>639.83000000000004</v>
      </c>
      <c r="O457" s="1">
        <f>(ordersTable[[#This Row],[Quantity]]*ordersTable[[#This Row],[UnitPrice]])-ordersTable[[#This Row],[TotalPrice]]</f>
        <v>0</v>
      </c>
    </row>
    <row r="458" spans="1:15" x14ac:dyDescent="0.3">
      <c r="A458" s="1" t="s">
        <v>470</v>
      </c>
      <c r="B458" s="2">
        <v>45103</v>
      </c>
      <c r="C458" s="3" t="s">
        <v>1670</v>
      </c>
      <c r="D458" s="1" t="s">
        <v>2409</v>
      </c>
      <c r="E458" s="5">
        <v>5</v>
      </c>
      <c r="F458" s="4">
        <v>62.81</v>
      </c>
      <c r="G458" s="1" t="s">
        <v>2698</v>
      </c>
      <c r="H458" s="1" t="s">
        <v>3067</v>
      </c>
      <c r="I458" s="1" t="s">
        <v>3070</v>
      </c>
      <c r="J458" s="1" t="s">
        <v>3531</v>
      </c>
      <c r="K458" s="1">
        <v>9</v>
      </c>
      <c r="L458" s="1" t="s">
        <v>4275</v>
      </c>
      <c r="M458" s="1" t="s">
        <v>4281</v>
      </c>
      <c r="N458" s="1">
        <v>314.05</v>
      </c>
      <c r="O458" s="1">
        <f>(ordersTable[[#This Row],[Quantity]]*ordersTable[[#This Row],[UnitPrice]])-ordersTable[[#This Row],[TotalPrice]]</f>
        <v>0</v>
      </c>
    </row>
    <row r="459" spans="1:15" x14ac:dyDescent="0.3">
      <c r="A459" s="1" t="s">
        <v>471</v>
      </c>
      <c r="B459" s="2">
        <v>45802</v>
      </c>
      <c r="C459" s="3" t="s">
        <v>1671</v>
      </c>
      <c r="D459" s="1" t="s">
        <v>2409</v>
      </c>
      <c r="E459" s="5">
        <v>4</v>
      </c>
      <c r="F459" s="4">
        <v>615.83000000000004</v>
      </c>
      <c r="G459" s="1" t="s">
        <v>2767</v>
      </c>
      <c r="H459" s="1" t="s">
        <v>3066</v>
      </c>
      <c r="I459" s="1" t="s">
        <v>3072</v>
      </c>
      <c r="J459" s="1" t="s">
        <v>3532</v>
      </c>
      <c r="K459" s="1">
        <v>4</v>
      </c>
      <c r="L459" s="1" t="s">
        <v>4277</v>
      </c>
      <c r="M459" s="1" t="s">
        <v>4278</v>
      </c>
      <c r="N459" s="1">
        <v>2463.3200000000002</v>
      </c>
      <c r="O459" s="1">
        <f>(ordersTable[[#This Row],[Quantity]]*ordersTable[[#This Row],[UnitPrice]])-ordersTable[[#This Row],[TotalPrice]]</f>
        <v>0</v>
      </c>
    </row>
    <row r="460" spans="1:15" x14ac:dyDescent="0.3">
      <c r="A460" s="1" t="s">
        <v>472</v>
      </c>
      <c r="B460" s="2">
        <v>45475</v>
      </c>
      <c r="C460" s="3" t="s">
        <v>1672</v>
      </c>
      <c r="D460" s="1" t="s">
        <v>2403</v>
      </c>
      <c r="E460" s="5">
        <v>4</v>
      </c>
      <c r="F460" s="4">
        <v>510.58</v>
      </c>
      <c r="G460" s="1" t="s">
        <v>2495</v>
      </c>
      <c r="H460" s="1" t="s">
        <v>3067</v>
      </c>
      <c r="I460" s="1" t="s">
        <v>3072</v>
      </c>
      <c r="J460" s="1" t="s">
        <v>3533</v>
      </c>
      <c r="K460" s="1">
        <v>7</v>
      </c>
      <c r="L460" s="1" t="s">
        <v>4277</v>
      </c>
      <c r="M460" s="1" t="s">
        <v>4280</v>
      </c>
      <c r="N460" s="1">
        <v>2042.32</v>
      </c>
      <c r="O460" s="1">
        <f>(ordersTable[[#This Row],[Quantity]]*ordersTable[[#This Row],[UnitPrice]])-ordersTable[[#This Row],[TotalPrice]]</f>
        <v>0</v>
      </c>
    </row>
    <row r="461" spans="1:15" x14ac:dyDescent="0.3">
      <c r="A461" s="1" t="s">
        <v>473</v>
      </c>
      <c r="B461" s="2">
        <v>45497</v>
      </c>
      <c r="C461" s="3" t="s">
        <v>1673</v>
      </c>
      <c r="D461" s="1" t="s">
        <v>2409</v>
      </c>
      <c r="E461" s="5">
        <v>1</v>
      </c>
      <c r="F461" s="4">
        <v>334.39</v>
      </c>
      <c r="G461" s="1" t="s">
        <v>2749</v>
      </c>
      <c r="H461" s="1" t="s">
        <v>3067</v>
      </c>
      <c r="I461" s="1" t="s">
        <v>3072</v>
      </c>
      <c r="J461" s="1" t="s">
        <v>3534</v>
      </c>
      <c r="K461" s="1">
        <v>2</v>
      </c>
      <c r="M461" s="1" t="s">
        <v>4278</v>
      </c>
      <c r="N461" s="1">
        <v>334.39</v>
      </c>
      <c r="O461" s="1">
        <f>(ordersTable[[#This Row],[Quantity]]*ordersTable[[#This Row],[UnitPrice]])-ordersTable[[#This Row],[TotalPrice]]</f>
        <v>0</v>
      </c>
    </row>
    <row r="462" spans="1:15" x14ac:dyDescent="0.3">
      <c r="A462" s="1" t="s">
        <v>474</v>
      </c>
      <c r="B462" s="2">
        <v>45571</v>
      </c>
      <c r="C462" s="3" t="s">
        <v>1674</v>
      </c>
      <c r="D462" s="1" t="s">
        <v>2408</v>
      </c>
      <c r="E462" s="5">
        <v>1</v>
      </c>
      <c r="F462" s="4">
        <v>144.25</v>
      </c>
      <c r="G462" s="1" t="s">
        <v>2768</v>
      </c>
      <c r="H462" s="1" t="s">
        <v>3069</v>
      </c>
      <c r="I462" s="1" t="s">
        <v>3072</v>
      </c>
      <c r="J462" s="1" t="s">
        <v>3535</v>
      </c>
      <c r="K462" s="1">
        <v>2</v>
      </c>
      <c r="L462" s="1" t="s">
        <v>4277</v>
      </c>
      <c r="M462" s="1" t="s">
        <v>4279</v>
      </c>
      <c r="N462" s="1">
        <v>144.25</v>
      </c>
      <c r="O462" s="1">
        <f>(ordersTable[[#This Row],[Quantity]]*ordersTable[[#This Row],[UnitPrice]])-ordersTable[[#This Row],[TotalPrice]]</f>
        <v>0</v>
      </c>
    </row>
    <row r="463" spans="1:15" x14ac:dyDescent="0.3">
      <c r="A463" s="1" t="s">
        <v>475</v>
      </c>
      <c r="B463" s="2">
        <v>45451</v>
      </c>
      <c r="C463" s="3" t="s">
        <v>1675</v>
      </c>
      <c r="D463" s="1" t="s">
        <v>2405</v>
      </c>
      <c r="E463" s="5">
        <v>1</v>
      </c>
      <c r="F463" s="4">
        <v>401.82</v>
      </c>
      <c r="G463" s="1" t="s">
        <v>2618</v>
      </c>
      <c r="H463" s="1" t="s">
        <v>3067</v>
      </c>
      <c r="I463" s="1" t="s">
        <v>3070</v>
      </c>
      <c r="J463" s="1" t="s">
        <v>3536</v>
      </c>
      <c r="K463" s="1">
        <v>5</v>
      </c>
      <c r="L463" s="1" t="s">
        <v>4276</v>
      </c>
      <c r="M463" s="1" t="s">
        <v>4282</v>
      </c>
      <c r="N463" s="1">
        <v>401.82</v>
      </c>
      <c r="O463" s="1">
        <f>(ordersTable[[#This Row],[Quantity]]*ordersTable[[#This Row],[UnitPrice]])-ordersTable[[#This Row],[TotalPrice]]</f>
        <v>0</v>
      </c>
    </row>
    <row r="464" spans="1:15" x14ac:dyDescent="0.3">
      <c r="A464" s="1" t="s">
        <v>476</v>
      </c>
      <c r="B464" s="2">
        <v>45747</v>
      </c>
      <c r="C464" s="3" t="s">
        <v>1676</v>
      </c>
      <c r="D464" s="1" t="s">
        <v>2404</v>
      </c>
      <c r="E464" s="5">
        <v>1</v>
      </c>
      <c r="F464" s="4">
        <v>252.68</v>
      </c>
      <c r="G464" s="1" t="s">
        <v>2769</v>
      </c>
      <c r="H464" s="1" t="s">
        <v>3066</v>
      </c>
      <c r="I464" s="1" t="s">
        <v>3071</v>
      </c>
      <c r="J464" s="1" t="s">
        <v>3537</v>
      </c>
      <c r="K464" s="1">
        <v>1</v>
      </c>
      <c r="M464" s="1" t="s">
        <v>4279</v>
      </c>
      <c r="N464" s="1">
        <v>252.68</v>
      </c>
      <c r="O464" s="1">
        <f>(ordersTable[[#This Row],[Quantity]]*ordersTable[[#This Row],[UnitPrice]])-ordersTable[[#This Row],[TotalPrice]]</f>
        <v>0</v>
      </c>
    </row>
    <row r="465" spans="1:15" x14ac:dyDescent="0.3">
      <c r="A465" s="1" t="s">
        <v>477</v>
      </c>
      <c r="B465" s="2">
        <v>45072</v>
      </c>
      <c r="C465" s="3" t="s">
        <v>1677</v>
      </c>
      <c r="D465" s="1" t="s">
        <v>2408</v>
      </c>
      <c r="E465" s="5">
        <v>5</v>
      </c>
      <c r="F465" s="4">
        <v>662.78</v>
      </c>
      <c r="G465" s="1" t="s">
        <v>2770</v>
      </c>
      <c r="H465" s="1" t="s">
        <v>3065</v>
      </c>
      <c r="I465" s="1" t="s">
        <v>3070</v>
      </c>
      <c r="J465" s="1" t="s">
        <v>3538</v>
      </c>
      <c r="K465" s="1">
        <v>9</v>
      </c>
      <c r="L465" s="1" t="s">
        <v>4275</v>
      </c>
      <c r="M465" s="1" t="s">
        <v>4278</v>
      </c>
      <c r="N465" s="1">
        <v>3313.9</v>
      </c>
      <c r="O465" s="1">
        <f>(ordersTable[[#This Row],[Quantity]]*ordersTable[[#This Row],[UnitPrice]])-ordersTable[[#This Row],[TotalPrice]]</f>
        <v>0</v>
      </c>
    </row>
    <row r="466" spans="1:15" x14ac:dyDescent="0.3">
      <c r="A466" s="1" t="s">
        <v>478</v>
      </c>
      <c r="B466" s="2">
        <v>44999</v>
      </c>
      <c r="C466" s="3" t="s">
        <v>1678</v>
      </c>
      <c r="D466" s="1" t="s">
        <v>2405</v>
      </c>
      <c r="E466" s="5">
        <v>4</v>
      </c>
      <c r="F466" s="4">
        <v>434.42</v>
      </c>
      <c r="G466" s="1" t="s">
        <v>2771</v>
      </c>
      <c r="H466" s="1" t="s">
        <v>3066</v>
      </c>
      <c r="I466" s="1" t="s">
        <v>3071</v>
      </c>
      <c r="J466" s="1" t="s">
        <v>3539</v>
      </c>
      <c r="K466" s="1">
        <v>6</v>
      </c>
      <c r="L466" s="1" t="s">
        <v>4276</v>
      </c>
      <c r="M466" s="1" t="s">
        <v>4282</v>
      </c>
      <c r="N466" s="1">
        <v>1737.68</v>
      </c>
      <c r="O466" s="1">
        <f>(ordersTable[[#This Row],[Quantity]]*ordersTable[[#This Row],[UnitPrice]])-ordersTable[[#This Row],[TotalPrice]]</f>
        <v>0</v>
      </c>
    </row>
    <row r="467" spans="1:15" x14ac:dyDescent="0.3">
      <c r="A467" s="1" t="s">
        <v>479</v>
      </c>
      <c r="B467" s="2">
        <v>45348</v>
      </c>
      <c r="C467" s="3" t="s">
        <v>1679</v>
      </c>
      <c r="D467" s="1" t="s">
        <v>2407</v>
      </c>
      <c r="E467" s="5">
        <v>5</v>
      </c>
      <c r="F467" s="4">
        <v>513.49</v>
      </c>
      <c r="G467" s="1" t="s">
        <v>2772</v>
      </c>
      <c r="H467" s="1" t="s">
        <v>3068</v>
      </c>
      <c r="I467" s="1" t="s">
        <v>3071</v>
      </c>
      <c r="J467" s="1" t="s">
        <v>3540</v>
      </c>
      <c r="K467" s="1">
        <v>8</v>
      </c>
      <c r="M467" s="1" t="s">
        <v>4282</v>
      </c>
      <c r="N467" s="1">
        <v>2567.4499999999998</v>
      </c>
      <c r="O467" s="1">
        <f>(ordersTable[[#This Row],[Quantity]]*ordersTable[[#This Row],[UnitPrice]])-ordersTable[[#This Row],[TotalPrice]]</f>
        <v>0</v>
      </c>
    </row>
    <row r="468" spans="1:15" x14ac:dyDescent="0.3">
      <c r="A468" s="1" t="s">
        <v>480</v>
      </c>
      <c r="B468" s="2">
        <v>45125</v>
      </c>
      <c r="C468" s="3" t="s">
        <v>1680</v>
      </c>
      <c r="D468" s="1" t="s">
        <v>2404</v>
      </c>
      <c r="E468" s="5">
        <v>1</v>
      </c>
      <c r="F468" s="4">
        <v>432.47</v>
      </c>
      <c r="G468" s="1" t="s">
        <v>2440</v>
      </c>
      <c r="H468" s="1" t="s">
        <v>3069</v>
      </c>
      <c r="I468" s="1" t="s">
        <v>3073</v>
      </c>
      <c r="J468" s="1" t="s">
        <v>3541</v>
      </c>
      <c r="K468" s="1">
        <v>4</v>
      </c>
      <c r="L468" s="1" t="s">
        <v>4276</v>
      </c>
      <c r="M468" s="1" t="s">
        <v>4279</v>
      </c>
      <c r="N468" s="1">
        <v>432.47</v>
      </c>
      <c r="O468" s="1">
        <f>(ordersTable[[#This Row],[Quantity]]*ordersTable[[#This Row],[UnitPrice]])-ordersTable[[#This Row],[TotalPrice]]</f>
        <v>0</v>
      </c>
    </row>
    <row r="469" spans="1:15" x14ac:dyDescent="0.3">
      <c r="A469" s="1" t="s">
        <v>481</v>
      </c>
      <c r="B469" s="2">
        <v>45534</v>
      </c>
      <c r="C469" s="3" t="s">
        <v>1681</v>
      </c>
      <c r="D469" s="1" t="s">
        <v>2409</v>
      </c>
      <c r="E469" s="5">
        <v>1</v>
      </c>
      <c r="F469" s="4">
        <v>45.94</v>
      </c>
      <c r="G469" s="1" t="s">
        <v>2577</v>
      </c>
      <c r="H469" s="1" t="s">
        <v>3069</v>
      </c>
      <c r="I469" s="1" t="s">
        <v>3071</v>
      </c>
      <c r="J469" s="1" t="s">
        <v>3542</v>
      </c>
      <c r="K469" s="1">
        <v>2</v>
      </c>
      <c r="L469" s="1" t="s">
        <v>4277</v>
      </c>
      <c r="M469" s="1" t="s">
        <v>4280</v>
      </c>
      <c r="N469" s="1">
        <v>45.94</v>
      </c>
      <c r="O469" s="1">
        <f>(ordersTable[[#This Row],[Quantity]]*ordersTable[[#This Row],[UnitPrice]])-ordersTable[[#This Row],[TotalPrice]]</f>
        <v>0</v>
      </c>
    </row>
    <row r="470" spans="1:15" x14ac:dyDescent="0.3">
      <c r="A470" s="1" t="s">
        <v>482</v>
      </c>
      <c r="B470" s="2">
        <v>45829</v>
      </c>
      <c r="C470" s="3" t="s">
        <v>1682</v>
      </c>
      <c r="D470" s="1" t="s">
        <v>2404</v>
      </c>
      <c r="E470" s="5">
        <v>1</v>
      </c>
      <c r="F470" s="4">
        <v>418.36</v>
      </c>
      <c r="G470" s="1" t="s">
        <v>2773</v>
      </c>
      <c r="H470" s="1" t="s">
        <v>3067</v>
      </c>
      <c r="I470" s="1" t="s">
        <v>3073</v>
      </c>
      <c r="J470" s="1" t="s">
        <v>3543</v>
      </c>
      <c r="K470" s="1">
        <v>5</v>
      </c>
      <c r="L470" s="1" t="s">
        <v>4276</v>
      </c>
      <c r="M470" s="1" t="s">
        <v>4280</v>
      </c>
      <c r="N470" s="1">
        <v>418.36</v>
      </c>
      <c r="O470" s="1">
        <f>(ordersTable[[#This Row],[Quantity]]*ordersTable[[#This Row],[UnitPrice]])-ordersTable[[#This Row],[TotalPrice]]</f>
        <v>0</v>
      </c>
    </row>
    <row r="471" spans="1:15" x14ac:dyDescent="0.3">
      <c r="A471" s="1" t="s">
        <v>483</v>
      </c>
      <c r="B471" s="2">
        <v>45256</v>
      </c>
      <c r="C471" s="3" t="s">
        <v>1683</v>
      </c>
      <c r="D471" s="1" t="s">
        <v>2406</v>
      </c>
      <c r="E471" s="5">
        <v>5</v>
      </c>
      <c r="F471" s="4">
        <v>676.98</v>
      </c>
      <c r="G471" s="1" t="s">
        <v>2546</v>
      </c>
      <c r="H471" s="1" t="s">
        <v>3069</v>
      </c>
      <c r="I471" s="1" t="s">
        <v>3071</v>
      </c>
      <c r="J471" s="1" t="s">
        <v>3544</v>
      </c>
      <c r="K471" s="1">
        <v>5</v>
      </c>
      <c r="M471" s="1" t="s">
        <v>4281</v>
      </c>
      <c r="N471" s="1">
        <v>3384.9</v>
      </c>
      <c r="O471" s="1">
        <f>(ordersTable[[#This Row],[Quantity]]*ordersTable[[#This Row],[UnitPrice]])-ordersTable[[#This Row],[TotalPrice]]</f>
        <v>0</v>
      </c>
    </row>
    <row r="472" spans="1:15" x14ac:dyDescent="0.3">
      <c r="A472" s="1" t="s">
        <v>484</v>
      </c>
      <c r="B472" s="2">
        <v>45198</v>
      </c>
      <c r="C472" s="3" t="s">
        <v>1684</v>
      </c>
      <c r="D472" s="1" t="s">
        <v>2405</v>
      </c>
      <c r="E472" s="5">
        <v>4</v>
      </c>
      <c r="F472" s="4">
        <v>263.62</v>
      </c>
      <c r="G472" s="1" t="s">
        <v>2774</v>
      </c>
      <c r="H472" s="1" t="s">
        <v>3069</v>
      </c>
      <c r="I472" s="1" t="s">
        <v>3070</v>
      </c>
      <c r="J472" s="1" t="s">
        <v>3545</v>
      </c>
      <c r="K472" s="1">
        <v>5</v>
      </c>
      <c r="L472" s="1" t="s">
        <v>4275</v>
      </c>
      <c r="M472" s="1" t="s">
        <v>4280</v>
      </c>
      <c r="N472" s="1">
        <v>1054.48</v>
      </c>
      <c r="O472" s="1">
        <f>(ordersTable[[#This Row],[Quantity]]*ordersTable[[#This Row],[UnitPrice]])-ordersTable[[#This Row],[TotalPrice]]</f>
        <v>0</v>
      </c>
    </row>
    <row r="473" spans="1:15" x14ac:dyDescent="0.3">
      <c r="A473" s="1" t="s">
        <v>485</v>
      </c>
      <c r="B473" s="2">
        <v>45766</v>
      </c>
      <c r="C473" s="3" t="s">
        <v>1685</v>
      </c>
      <c r="D473" s="1" t="s">
        <v>2409</v>
      </c>
      <c r="E473" s="5">
        <v>5</v>
      </c>
      <c r="F473" s="4">
        <v>551.27</v>
      </c>
      <c r="G473" s="1" t="s">
        <v>2775</v>
      </c>
      <c r="H473" s="1" t="s">
        <v>3066</v>
      </c>
      <c r="I473" s="1" t="s">
        <v>3071</v>
      </c>
      <c r="J473" s="1" t="s">
        <v>3546</v>
      </c>
      <c r="K473" s="1">
        <v>7</v>
      </c>
      <c r="L473" s="1" t="s">
        <v>4276</v>
      </c>
      <c r="M473" s="1" t="s">
        <v>4279</v>
      </c>
      <c r="N473" s="1">
        <v>2756.35</v>
      </c>
      <c r="O473" s="1">
        <f>(ordersTable[[#This Row],[Quantity]]*ordersTable[[#This Row],[UnitPrice]])-ordersTable[[#This Row],[TotalPrice]]</f>
        <v>0</v>
      </c>
    </row>
    <row r="474" spans="1:15" x14ac:dyDescent="0.3">
      <c r="A474" s="1" t="s">
        <v>486</v>
      </c>
      <c r="B474" s="2">
        <v>44932</v>
      </c>
      <c r="C474" s="3" t="s">
        <v>1686</v>
      </c>
      <c r="D474" s="1" t="s">
        <v>2406</v>
      </c>
      <c r="E474" s="5">
        <v>3</v>
      </c>
      <c r="F474" s="4">
        <v>508.12</v>
      </c>
      <c r="G474" s="1" t="s">
        <v>2776</v>
      </c>
      <c r="H474" s="1" t="s">
        <v>3067</v>
      </c>
      <c r="I474" s="1" t="s">
        <v>3071</v>
      </c>
      <c r="J474" s="1" t="s">
        <v>3547</v>
      </c>
      <c r="K474" s="1">
        <v>8</v>
      </c>
      <c r="L474" s="1" t="s">
        <v>4276</v>
      </c>
      <c r="M474" s="1" t="s">
        <v>4279</v>
      </c>
      <c r="N474" s="1">
        <v>1524.36</v>
      </c>
      <c r="O474" s="1">
        <f>(ordersTable[[#This Row],[Quantity]]*ordersTable[[#This Row],[UnitPrice]])-ordersTable[[#This Row],[TotalPrice]]</f>
        <v>0</v>
      </c>
    </row>
    <row r="475" spans="1:15" x14ac:dyDescent="0.3">
      <c r="A475" s="1" t="s">
        <v>487</v>
      </c>
      <c r="B475" s="2">
        <v>45713</v>
      </c>
      <c r="C475" s="3" t="s">
        <v>1687</v>
      </c>
      <c r="D475" s="1" t="s">
        <v>2406</v>
      </c>
      <c r="E475" s="5">
        <v>2</v>
      </c>
      <c r="F475" s="4">
        <v>14.93</v>
      </c>
      <c r="G475" s="1" t="s">
        <v>2777</v>
      </c>
      <c r="H475" s="1" t="s">
        <v>3066</v>
      </c>
      <c r="I475" s="1" t="s">
        <v>3070</v>
      </c>
      <c r="J475" s="1" t="s">
        <v>3548</v>
      </c>
      <c r="K475" s="1">
        <v>4</v>
      </c>
      <c r="M475" s="1" t="s">
        <v>4281</v>
      </c>
      <c r="N475" s="1">
        <v>29.86</v>
      </c>
      <c r="O475" s="1">
        <f>(ordersTable[[#This Row],[Quantity]]*ordersTable[[#This Row],[UnitPrice]])-ordersTable[[#This Row],[TotalPrice]]</f>
        <v>0</v>
      </c>
    </row>
    <row r="476" spans="1:15" x14ac:dyDescent="0.3">
      <c r="A476" s="1" t="s">
        <v>488</v>
      </c>
      <c r="B476" s="2">
        <v>45245</v>
      </c>
      <c r="C476" s="3" t="s">
        <v>1688</v>
      </c>
      <c r="D476" s="1" t="s">
        <v>2407</v>
      </c>
      <c r="E476" s="5">
        <v>3</v>
      </c>
      <c r="F476" s="4">
        <v>229.34</v>
      </c>
      <c r="G476" s="1" t="s">
        <v>2692</v>
      </c>
      <c r="H476" s="1" t="s">
        <v>3067</v>
      </c>
      <c r="I476" s="1" t="s">
        <v>3070</v>
      </c>
      <c r="J476" s="1" t="s">
        <v>3549</v>
      </c>
      <c r="K476" s="1">
        <v>6</v>
      </c>
      <c r="L476" s="1" t="s">
        <v>4275</v>
      </c>
      <c r="M476" s="1" t="s">
        <v>4279</v>
      </c>
      <c r="N476" s="1">
        <v>688.02</v>
      </c>
      <c r="O476" s="1">
        <f>(ordersTable[[#This Row],[Quantity]]*ordersTable[[#This Row],[UnitPrice]])-ordersTable[[#This Row],[TotalPrice]]</f>
        <v>0</v>
      </c>
    </row>
    <row r="477" spans="1:15" x14ac:dyDescent="0.3">
      <c r="A477" s="1" t="s">
        <v>489</v>
      </c>
      <c r="B477" s="2">
        <v>45766</v>
      </c>
      <c r="C477" s="3" t="s">
        <v>1689</v>
      </c>
      <c r="D477" s="1" t="s">
        <v>2405</v>
      </c>
      <c r="E477" s="5">
        <v>2</v>
      </c>
      <c r="F477" s="4">
        <v>438.62</v>
      </c>
      <c r="G477" s="1" t="s">
        <v>2778</v>
      </c>
      <c r="H477" s="1" t="s">
        <v>3069</v>
      </c>
      <c r="I477" s="1" t="s">
        <v>3071</v>
      </c>
      <c r="J477" s="1" t="s">
        <v>3550</v>
      </c>
      <c r="K477" s="1">
        <v>3</v>
      </c>
      <c r="L477" s="1" t="s">
        <v>4275</v>
      </c>
      <c r="M477" s="1" t="s">
        <v>4281</v>
      </c>
      <c r="N477" s="1">
        <v>877.24</v>
      </c>
      <c r="O477" s="1">
        <f>(ordersTable[[#This Row],[Quantity]]*ordersTable[[#This Row],[UnitPrice]])-ordersTable[[#This Row],[TotalPrice]]</f>
        <v>0</v>
      </c>
    </row>
    <row r="478" spans="1:15" x14ac:dyDescent="0.3">
      <c r="A478" s="1" t="s">
        <v>490</v>
      </c>
      <c r="B478" s="2">
        <v>45306</v>
      </c>
      <c r="C478" s="3" t="s">
        <v>1690</v>
      </c>
      <c r="D478" s="1" t="s">
        <v>2404</v>
      </c>
      <c r="E478" s="5">
        <v>2</v>
      </c>
      <c r="F478" s="4">
        <v>513.59</v>
      </c>
      <c r="G478" s="1" t="s">
        <v>2779</v>
      </c>
      <c r="H478" s="1" t="s">
        <v>3066</v>
      </c>
      <c r="I478" s="1" t="s">
        <v>3072</v>
      </c>
      <c r="J478" s="1" t="s">
        <v>3551</v>
      </c>
      <c r="K478" s="1">
        <v>4</v>
      </c>
      <c r="L478" s="1" t="s">
        <v>4276</v>
      </c>
      <c r="M478" s="1" t="s">
        <v>4279</v>
      </c>
      <c r="N478" s="1">
        <v>1027.18</v>
      </c>
      <c r="O478" s="1">
        <f>(ordersTable[[#This Row],[Quantity]]*ordersTable[[#This Row],[UnitPrice]])-ordersTable[[#This Row],[TotalPrice]]</f>
        <v>0</v>
      </c>
    </row>
    <row r="479" spans="1:15" x14ac:dyDescent="0.3">
      <c r="A479" s="1" t="s">
        <v>491</v>
      </c>
      <c r="B479" s="2">
        <v>45721</v>
      </c>
      <c r="C479" s="3" t="s">
        <v>1691</v>
      </c>
      <c r="D479" s="1" t="s">
        <v>2404</v>
      </c>
      <c r="E479" s="5">
        <v>2</v>
      </c>
      <c r="F479" s="4">
        <v>253.74</v>
      </c>
      <c r="G479" s="1" t="s">
        <v>2780</v>
      </c>
      <c r="H479" s="1" t="s">
        <v>3066</v>
      </c>
      <c r="I479" s="1" t="s">
        <v>3070</v>
      </c>
      <c r="J479" s="1" t="s">
        <v>3552</v>
      </c>
      <c r="K479" s="1">
        <v>5</v>
      </c>
      <c r="L479" s="1" t="s">
        <v>4275</v>
      </c>
      <c r="M479" s="1" t="s">
        <v>4282</v>
      </c>
      <c r="N479" s="1">
        <v>507.48</v>
      </c>
      <c r="O479" s="1">
        <f>(ordersTable[[#This Row],[Quantity]]*ordersTable[[#This Row],[UnitPrice]])-ordersTable[[#This Row],[TotalPrice]]</f>
        <v>0</v>
      </c>
    </row>
    <row r="480" spans="1:15" x14ac:dyDescent="0.3">
      <c r="A480" s="1" t="s">
        <v>492</v>
      </c>
      <c r="B480" s="2">
        <v>45597</v>
      </c>
      <c r="C480" s="3" t="s">
        <v>1692</v>
      </c>
      <c r="D480" s="1" t="s">
        <v>2405</v>
      </c>
      <c r="E480" s="5">
        <v>3</v>
      </c>
      <c r="F480" s="4">
        <v>62.77</v>
      </c>
      <c r="G480" s="1" t="s">
        <v>2426</v>
      </c>
      <c r="H480" s="1" t="s">
        <v>3068</v>
      </c>
      <c r="I480" s="1" t="s">
        <v>3070</v>
      </c>
      <c r="J480" s="1" t="s">
        <v>3553</v>
      </c>
      <c r="K480" s="1">
        <v>6</v>
      </c>
      <c r="L480" s="1" t="s">
        <v>4276</v>
      </c>
      <c r="M480" s="1" t="s">
        <v>4279</v>
      </c>
      <c r="N480" s="1">
        <v>188.31</v>
      </c>
      <c r="O480" s="1">
        <f>(ordersTable[[#This Row],[Quantity]]*ordersTable[[#This Row],[UnitPrice]])-ordersTable[[#This Row],[TotalPrice]]</f>
        <v>0</v>
      </c>
    </row>
    <row r="481" spans="1:15" x14ac:dyDescent="0.3">
      <c r="A481" s="1" t="s">
        <v>493</v>
      </c>
      <c r="B481" s="2">
        <v>44975</v>
      </c>
      <c r="C481" s="3" t="s">
        <v>1693</v>
      </c>
      <c r="D481" s="1" t="s">
        <v>2403</v>
      </c>
      <c r="E481" s="5">
        <v>4</v>
      </c>
      <c r="F481" s="4">
        <v>25.29</v>
      </c>
      <c r="G481" s="1" t="s">
        <v>2781</v>
      </c>
      <c r="H481" s="1" t="s">
        <v>3067</v>
      </c>
      <c r="I481" s="1" t="s">
        <v>3074</v>
      </c>
      <c r="J481" s="1" t="s">
        <v>3554</v>
      </c>
      <c r="K481" s="1">
        <v>8</v>
      </c>
      <c r="M481" s="1" t="s">
        <v>4282</v>
      </c>
      <c r="N481" s="1">
        <v>101.16</v>
      </c>
      <c r="O481" s="1">
        <f>(ordersTable[[#This Row],[Quantity]]*ordersTable[[#This Row],[UnitPrice]])-ordersTable[[#This Row],[TotalPrice]]</f>
        <v>0</v>
      </c>
    </row>
    <row r="482" spans="1:15" x14ac:dyDescent="0.3">
      <c r="A482" s="1" t="s">
        <v>494</v>
      </c>
      <c r="B482" s="2">
        <v>45093</v>
      </c>
      <c r="C482" s="3" t="s">
        <v>1694</v>
      </c>
      <c r="D482" s="1" t="s">
        <v>2406</v>
      </c>
      <c r="E482" s="5">
        <v>1</v>
      </c>
      <c r="F482" s="4">
        <v>335.1</v>
      </c>
      <c r="G482" s="1" t="s">
        <v>2509</v>
      </c>
      <c r="H482" s="1" t="s">
        <v>3065</v>
      </c>
      <c r="I482" s="1" t="s">
        <v>3074</v>
      </c>
      <c r="J482" s="1" t="s">
        <v>3555</v>
      </c>
      <c r="K482" s="1">
        <v>6</v>
      </c>
      <c r="L482" s="1" t="s">
        <v>4276</v>
      </c>
      <c r="M482" s="1" t="s">
        <v>4279</v>
      </c>
      <c r="N482" s="1">
        <v>335.1</v>
      </c>
      <c r="O482" s="1">
        <f>(ordersTable[[#This Row],[Quantity]]*ordersTable[[#This Row],[UnitPrice]])-ordersTable[[#This Row],[TotalPrice]]</f>
        <v>0</v>
      </c>
    </row>
    <row r="483" spans="1:15" x14ac:dyDescent="0.3">
      <c r="A483" s="1" t="s">
        <v>495</v>
      </c>
      <c r="B483" s="2">
        <v>45039</v>
      </c>
      <c r="C483" s="3" t="s">
        <v>1695</v>
      </c>
      <c r="D483" s="1" t="s">
        <v>2408</v>
      </c>
      <c r="E483" s="5">
        <v>4</v>
      </c>
      <c r="F483" s="4">
        <v>484.85</v>
      </c>
      <c r="G483" s="1" t="s">
        <v>2596</v>
      </c>
      <c r="H483" s="1" t="s">
        <v>3065</v>
      </c>
      <c r="I483" s="1" t="s">
        <v>3073</v>
      </c>
      <c r="J483" s="1" t="s">
        <v>3556</v>
      </c>
      <c r="K483" s="1">
        <v>5</v>
      </c>
      <c r="L483" s="1" t="s">
        <v>4277</v>
      </c>
      <c r="M483" s="1" t="s">
        <v>4279</v>
      </c>
      <c r="N483" s="1">
        <v>1939.4</v>
      </c>
      <c r="O483" s="1">
        <f>(ordersTable[[#This Row],[Quantity]]*ordersTable[[#This Row],[UnitPrice]])-ordersTable[[#This Row],[TotalPrice]]</f>
        <v>0</v>
      </c>
    </row>
    <row r="484" spans="1:15" x14ac:dyDescent="0.3">
      <c r="A484" s="1" t="s">
        <v>496</v>
      </c>
      <c r="B484" s="2">
        <v>45718</v>
      </c>
      <c r="C484" s="3" t="s">
        <v>1696</v>
      </c>
      <c r="D484" s="1" t="s">
        <v>2403</v>
      </c>
      <c r="E484" s="5">
        <v>3</v>
      </c>
      <c r="F484" s="4">
        <v>381.41</v>
      </c>
      <c r="G484" s="1" t="s">
        <v>2487</v>
      </c>
      <c r="H484" s="1" t="s">
        <v>3066</v>
      </c>
      <c r="I484" s="1" t="s">
        <v>3074</v>
      </c>
      <c r="J484" s="1" t="s">
        <v>3557</v>
      </c>
      <c r="K484" s="1">
        <v>6</v>
      </c>
      <c r="M484" s="1" t="s">
        <v>4278</v>
      </c>
      <c r="N484" s="1">
        <v>1144.23</v>
      </c>
      <c r="O484" s="1">
        <f>(ordersTable[[#This Row],[Quantity]]*ordersTable[[#This Row],[UnitPrice]])-ordersTable[[#This Row],[TotalPrice]]</f>
        <v>0</v>
      </c>
    </row>
    <row r="485" spans="1:15" x14ac:dyDescent="0.3">
      <c r="A485" s="1" t="s">
        <v>497</v>
      </c>
      <c r="B485" s="2">
        <v>44944</v>
      </c>
      <c r="C485" s="3" t="s">
        <v>1697</v>
      </c>
      <c r="D485" s="1" t="s">
        <v>2404</v>
      </c>
      <c r="E485" s="5">
        <v>5</v>
      </c>
      <c r="F485" s="4">
        <v>347.92</v>
      </c>
      <c r="G485" s="1" t="s">
        <v>2782</v>
      </c>
      <c r="H485" s="1" t="s">
        <v>3069</v>
      </c>
      <c r="I485" s="1" t="s">
        <v>3074</v>
      </c>
      <c r="J485" s="1" t="s">
        <v>3558</v>
      </c>
      <c r="K485" s="1">
        <v>6</v>
      </c>
      <c r="L485" s="1" t="s">
        <v>4277</v>
      </c>
      <c r="M485" s="1" t="s">
        <v>4282</v>
      </c>
      <c r="N485" s="1">
        <v>1739.6</v>
      </c>
      <c r="O485" s="1">
        <f>(ordersTable[[#This Row],[Quantity]]*ordersTable[[#This Row],[UnitPrice]])-ordersTable[[#This Row],[TotalPrice]]</f>
        <v>0</v>
      </c>
    </row>
    <row r="486" spans="1:15" x14ac:dyDescent="0.3">
      <c r="A486" s="1" t="s">
        <v>498</v>
      </c>
      <c r="B486" s="2">
        <v>45441</v>
      </c>
      <c r="C486" s="3" t="s">
        <v>1698</v>
      </c>
      <c r="D486" s="1" t="s">
        <v>2406</v>
      </c>
      <c r="E486" s="5">
        <v>4</v>
      </c>
      <c r="F486" s="4">
        <v>15.01</v>
      </c>
      <c r="G486" s="1" t="s">
        <v>2736</v>
      </c>
      <c r="H486" s="1" t="s">
        <v>3069</v>
      </c>
      <c r="I486" s="1" t="s">
        <v>3071</v>
      </c>
      <c r="J486" s="1" t="s">
        <v>3559</v>
      </c>
      <c r="K486" s="1">
        <v>6</v>
      </c>
      <c r="M486" s="1" t="s">
        <v>4281</v>
      </c>
      <c r="N486" s="1">
        <v>60.04</v>
      </c>
      <c r="O486" s="1">
        <f>(ordersTable[[#This Row],[Quantity]]*ordersTable[[#This Row],[UnitPrice]])-ordersTable[[#This Row],[TotalPrice]]</f>
        <v>0</v>
      </c>
    </row>
    <row r="487" spans="1:15" x14ac:dyDescent="0.3">
      <c r="A487" s="1" t="s">
        <v>499</v>
      </c>
      <c r="B487" s="2">
        <v>45139</v>
      </c>
      <c r="C487" s="3" t="s">
        <v>1699</v>
      </c>
      <c r="D487" s="1" t="s">
        <v>2406</v>
      </c>
      <c r="E487" s="5">
        <v>3</v>
      </c>
      <c r="F487" s="4">
        <v>404.79</v>
      </c>
      <c r="G487" s="1" t="s">
        <v>2783</v>
      </c>
      <c r="H487" s="1" t="s">
        <v>3069</v>
      </c>
      <c r="I487" s="1" t="s">
        <v>3070</v>
      </c>
      <c r="J487" s="1" t="s">
        <v>3560</v>
      </c>
      <c r="K487" s="1">
        <v>6</v>
      </c>
      <c r="L487" s="1" t="s">
        <v>4275</v>
      </c>
      <c r="M487" s="1" t="s">
        <v>4278</v>
      </c>
      <c r="N487" s="1">
        <v>1214.3699999999999</v>
      </c>
      <c r="O487" s="1">
        <f>(ordersTable[[#This Row],[Quantity]]*ordersTable[[#This Row],[UnitPrice]])-ordersTable[[#This Row],[TotalPrice]]</f>
        <v>0</v>
      </c>
    </row>
    <row r="488" spans="1:15" x14ac:dyDescent="0.3">
      <c r="A488" s="1" t="s">
        <v>500</v>
      </c>
      <c r="B488" s="2">
        <v>44960</v>
      </c>
      <c r="C488" s="3" t="s">
        <v>1700</v>
      </c>
      <c r="D488" s="1" t="s">
        <v>2407</v>
      </c>
      <c r="E488" s="5">
        <v>4</v>
      </c>
      <c r="F488" s="4">
        <v>611.26</v>
      </c>
      <c r="G488" s="1" t="s">
        <v>2727</v>
      </c>
      <c r="H488" s="1" t="s">
        <v>3069</v>
      </c>
      <c r="I488" s="1" t="s">
        <v>3070</v>
      </c>
      <c r="J488" s="1" t="s">
        <v>3561</v>
      </c>
      <c r="K488" s="1">
        <v>5</v>
      </c>
      <c r="L488" s="1" t="s">
        <v>4275</v>
      </c>
      <c r="M488" s="1" t="s">
        <v>4279</v>
      </c>
      <c r="N488" s="1">
        <v>2445.04</v>
      </c>
      <c r="O488" s="1">
        <f>(ordersTable[[#This Row],[Quantity]]*ordersTable[[#This Row],[UnitPrice]])-ordersTable[[#This Row],[TotalPrice]]</f>
        <v>0</v>
      </c>
    </row>
    <row r="489" spans="1:15" x14ac:dyDescent="0.3">
      <c r="A489" s="1" t="s">
        <v>501</v>
      </c>
      <c r="B489" s="2">
        <v>44994</v>
      </c>
      <c r="C489" s="3" t="s">
        <v>1701</v>
      </c>
      <c r="D489" s="1" t="s">
        <v>2407</v>
      </c>
      <c r="E489" s="5">
        <v>3</v>
      </c>
      <c r="F489" s="4">
        <v>346.52</v>
      </c>
      <c r="G489" s="1" t="s">
        <v>2784</v>
      </c>
      <c r="H489" s="1" t="s">
        <v>3067</v>
      </c>
      <c r="I489" s="1" t="s">
        <v>3074</v>
      </c>
      <c r="J489" s="1" t="s">
        <v>3562</v>
      </c>
      <c r="K489" s="1">
        <v>3</v>
      </c>
      <c r="L489" s="1" t="s">
        <v>4275</v>
      </c>
      <c r="M489" s="1" t="s">
        <v>4282</v>
      </c>
      <c r="N489" s="1">
        <v>1039.56</v>
      </c>
      <c r="O489" s="1">
        <f>(ordersTable[[#This Row],[Quantity]]*ordersTable[[#This Row],[UnitPrice]])-ordersTable[[#This Row],[TotalPrice]]</f>
        <v>0</v>
      </c>
    </row>
    <row r="490" spans="1:15" x14ac:dyDescent="0.3">
      <c r="A490" s="1" t="s">
        <v>502</v>
      </c>
      <c r="B490" s="2">
        <v>45631</v>
      </c>
      <c r="C490" s="3" t="s">
        <v>1702</v>
      </c>
      <c r="D490" s="1" t="s">
        <v>2406</v>
      </c>
      <c r="E490" s="5">
        <v>1</v>
      </c>
      <c r="F490" s="4">
        <v>36.65</v>
      </c>
      <c r="G490" s="1" t="s">
        <v>2785</v>
      </c>
      <c r="H490" s="1" t="s">
        <v>3066</v>
      </c>
      <c r="I490" s="1" t="s">
        <v>3071</v>
      </c>
      <c r="J490" s="1" t="s">
        <v>3563</v>
      </c>
      <c r="K490" s="1">
        <v>1</v>
      </c>
      <c r="L490" s="1" t="s">
        <v>4277</v>
      </c>
      <c r="M490" s="1" t="s">
        <v>4280</v>
      </c>
      <c r="N490" s="1">
        <v>36.65</v>
      </c>
      <c r="O490" s="1">
        <f>(ordersTable[[#This Row],[Quantity]]*ordersTable[[#This Row],[UnitPrice]])-ordersTable[[#This Row],[TotalPrice]]</f>
        <v>0</v>
      </c>
    </row>
    <row r="491" spans="1:15" x14ac:dyDescent="0.3">
      <c r="A491" s="1" t="s">
        <v>503</v>
      </c>
      <c r="B491" s="2">
        <v>45174</v>
      </c>
      <c r="C491" s="3" t="s">
        <v>1703</v>
      </c>
      <c r="D491" s="1" t="s">
        <v>2405</v>
      </c>
      <c r="E491" s="5">
        <v>3</v>
      </c>
      <c r="F491" s="4">
        <v>149.34</v>
      </c>
      <c r="G491" s="1" t="s">
        <v>2637</v>
      </c>
      <c r="H491" s="1" t="s">
        <v>3068</v>
      </c>
      <c r="I491" s="1" t="s">
        <v>3071</v>
      </c>
      <c r="J491" s="1" t="s">
        <v>3564</v>
      </c>
      <c r="K491" s="1">
        <v>7</v>
      </c>
      <c r="L491" s="1" t="s">
        <v>4277</v>
      </c>
      <c r="M491" s="1" t="s">
        <v>4280</v>
      </c>
      <c r="N491" s="1">
        <v>448.02</v>
      </c>
      <c r="O491" s="1">
        <f>(ordersTable[[#This Row],[Quantity]]*ordersTable[[#This Row],[UnitPrice]])-ordersTable[[#This Row],[TotalPrice]]</f>
        <v>0</v>
      </c>
    </row>
    <row r="492" spans="1:15" x14ac:dyDescent="0.3">
      <c r="A492" s="1" t="s">
        <v>504</v>
      </c>
      <c r="B492" s="2">
        <v>45495</v>
      </c>
      <c r="C492" s="3" t="s">
        <v>1704</v>
      </c>
      <c r="D492" s="1" t="s">
        <v>2406</v>
      </c>
      <c r="E492" s="5">
        <v>5</v>
      </c>
      <c r="F492" s="4">
        <v>467.81</v>
      </c>
      <c r="G492" s="1" t="s">
        <v>2786</v>
      </c>
      <c r="H492" s="1" t="s">
        <v>3066</v>
      </c>
      <c r="I492" s="1" t="s">
        <v>3071</v>
      </c>
      <c r="J492" s="1" t="s">
        <v>3565</v>
      </c>
      <c r="K492" s="1">
        <v>10</v>
      </c>
      <c r="M492" s="1" t="s">
        <v>4281</v>
      </c>
      <c r="N492" s="1">
        <v>2339.0500000000002</v>
      </c>
      <c r="O492" s="1">
        <f>(ordersTable[[#This Row],[Quantity]]*ordersTable[[#This Row],[UnitPrice]])-ordersTable[[#This Row],[TotalPrice]]</f>
        <v>0</v>
      </c>
    </row>
    <row r="493" spans="1:15" x14ac:dyDescent="0.3">
      <c r="A493" s="1" t="s">
        <v>505</v>
      </c>
      <c r="B493" s="2">
        <v>44931</v>
      </c>
      <c r="C493" s="3" t="s">
        <v>1705</v>
      </c>
      <c r="D493" s="1" t="s">
        <v>2404</v>
      </c>
      <c r="E493" s="5">
        <v>5</v>
      </c>
      <c r="F493" s="4">
        <v>420.7</v>
      </c>
      <c r="G493" s="1" t="s">
        <v>2780</v>
      </c>
      <c r="H493" s="1" t="s">
        <v>3069</v>
      </c>
      <c r="I493" s="1" t="s">
        <v>3074</v>
      </c>
      <c r="J493" s="1" t="s">
        <v>3566</v>
      </c>
      <c r="K493" s="1">
        <v>5</v>
      </c>
      <c r="L493" s="1" t="s">
        <v>4277</v>
      </c>
      <c r="M493" s="1" t="s">
        <v>4281</v>
      </c>
      <c r="N493" s="1">
        <v>2103.5</v>
      </c>
      <c r="O493" s="1">
        <f>(ordersTable[[#This Row],[Quantity]]*ordersTable[[#This Row],[UnitPrice]])-ordersTable[[#This Row],[TotalPrice]]</f>
        <v>0</v>
      </c>
    </row>
    <row r="494" spans="1:15" x14ac:dyDescent="0.3">
      <c r="A494" s="1" t="s">
        <v>506</v>
      </c>
      <c r="B494" s="2">
        <v>45224</v>
      </c>
      <c r="C494" s="3" t="s">
        <v>1706</v>
      </c>
      <c r="D494" s="1" t="s">
        <v>2408</v>
      </c>
      <c r="E494" s="5">
        <v>5</v>
      </c>
      <c r="F494" s="4">
        <v>606.52</v>
      </c>
      <c r="G494" s="1" t="s">
        <v>2483</v>
      </c>
      <c r="H494" s="1" t="s">
        <v>3065</v>
      </c>
      <c r="I494" s="1" t="s">
        <v>3070</v>
      </c>
      <c r="J494" s="1" t="s">
        <v>3567</v>
      </c>
      <c r="K494" s="1">
        <v>6</v>
      </c>
      <c r="L494" s="1" t="s">
        <v>4275</v>
      </c>
      <c r="M494" s="1" t="s">
        <v>4278</v>
      </c>
      <c r="N494" s="1">
        <v>3032.6</v>
      </c>
      <c r="O494" s="1">
        <f>(ordersTable[[#This Row],[Quantity]]*ordersTable[[#This Row],[UnitPrice]])-ordersTable[[#This Row],[TotalPrice]]</f>
        <v>0</v>
      </c>
    </row>
    <row r="495" spans="1:15" x14ac:dyDescent="0.3">
      <c r="A495" s="1" t="s">
        <v>507</v>
      </c>
      <c r="B495" s="2">
        <v>45685</v>
      </c>
      <c r="C495" s="3" t="s">
        <v>1707</v>
      </c>
      <c r="D495" s="1" t="s">
        <v>2404</v>
      </c>
      <c r="E495" s="5">
        <v>1</v>
      </c>
      <c r="F495" s="4">
        <v>420.26</v>
      </c>
      <c r="G495" s="1" t="s">
        <v>2787</v>
      </c>
      <c r="H495" s="1" t="s">
        <v>3067</v>
      </c>
      <c r="I495" s="1" t="s">
        <v>3074</v>
      </c>
      <c r="J495" s="1" t="s">
        <v>3568</v>
      </c>
      <c r="K495" s="1">
        <v>4</v>
      </c>
      <c r="L495" s="1" t="s">
        <v>4276</v>
      </c>
      <c r="M495" s="1" t="s">
        <v>4281</v>
      </c>
      <c r="N495" s="1">
        <v>420.26</v>
      </c>
      <c r="O495" s="1">
        <f>(ordersTable[[#This Row],[Quantity]]*ordersTable[[#This Row],[UnitPrice]])-ordersTable[[#This Row],[TotalPrice]]</f>
        <v>0</v>
      </c>
    </row>
    <row r="496" spans="1:15" x14ac:dyDescent="0.3">
      <c r="A496" s="1" t="s">
        <v>508</v>
      </c>
      <c r="B496" s="2">
        <v>45126</v>
      </c>
      <c r="C496" s="3" t="s">
        <v>1708</v>
      </c>
      <c r="D496" s="1" t="s">
        <v>2408</v>
      </c>
      <c r="E496" s="5">
        <v>3</v>
      </c>
      <c r="F496" s="4">
        <v>505.79</v>
      </c>
      <c r="G496" s="1" t="s">
        <v>2788</v>
      </c>
      <c r="H496" s="1" t="s">
        <v>3065</v>
      </c>
      <c r="I496" s="1" t="s">
        <v>3074</v>
      </c>
      <c r="J496" s="1" t="s">
        <v>3569</v>
      </c>
      <c r="K496" s="1">
        <v>3</v>
      </c>
      <c r="L496" s="1" t="s">
        <v>4276</v>
      </c>
      <c r="M496" s="1" t="s">
        <v>4279</v>
      </c>
      <c r="N496" s="1">
        <v>1517.37</v>
      </c>
      <c r="O496" s="1">
        <f>(ordersTable[[#This Row],[Quantity]]*ordersTable[[#This Row],[UnitPrice]])-ordersTable[[#This Row],[TotalPrice]]</f>
        <v>0</v>
      </c>
    </row>
    <row r="497" spans="1:15" x14ac:dyDescent="0.3">
      <c r="A497" s="1" t="s">
        <v>509</v>
      </c>
      <c r="B497" s="2">
        <v>45813</v>
      </c>
      <c r="C497" s="3" t="s">
        <v>1709</v>
      </c>
      <c r="D497" s="1" t="s">
        <v>2404</v>
      </c>
      <c r="E497" s="5">
        <v>4</v>
      </c>
      <c r="F497" s="4">
        <v>493.73</v>
      </c>
      <c r="G497" s="1" t="s">
        <v>2550</v>
      </c>
      <c r="H497" s="1" t="s">
        <v>3065</v>
      </c>
      <c r="I497" s="1" t="s">
        <v>3074</v>
      </c>
      <c r="J497" s="1" t="s">
        <v>3570</v>
      </c>
      <c r="K497" s="1">
        <v>6</v>
      </c>
      <c r="L497" s="1" t="s">
        <v>4275</v>
      </c>
      <c r="M497" s="1" t="s">
        <v>4281</v>
      </c>
      <c r="N497" s="1">
        <v>1974.92</v>
      </c>
      <c r="O497" s="1">
        <f>(ordersTable[[#This Row],[Quantity]]*ordersTable[[#This Row],[UnitPrice]])-ordersTable[[#This Row],[TotalPrice]]</f>
        <v>0</v>
      </c>
    </row>
    <row r="498" spans="1:15" x14ac:dyDescent="0.3">
      <c r="A498" s="1" t="s">
        <v>510</v>
      </c>
      <c r="B498" s="2">
        <v>45730</v>
      </c>
      <c r="C498" s="3" t="s">
        <v>1710</v>
      </c>
      <c r="D498" s="1" t="s">
        <v>2407</v>
      </c>
      <c r="E498" s="5">
        <v>3</v>
      </c>
      <c r="F498" s="4">
        <v>201.21</v>
      </c>
      <c r="G498" s="1" t="s">
        <v>2789</v>
      </c>
      <c r="H498" s="1" t="s">
        <v>3066</v>
      </c>
      <c r="I498" s="1" t="s">
        <v>3071</v>
      </c>
      <c r="J498" s="1" t="s">
        <v>3571</v>
      </c>
      <c r="K498" s="1">
        <v>3</v>
      </c>
      <c r="L498" s="1" t="s">
        <v>4275</v>
      </c>
      <c r="M498" s="1" t="s">
        <v>4282</v>
      </c>
      <c r="N498" s="1">
        <v>603.63</v>
      </c>
      <c r="O498" s="1">
        <f>(ordersTable[[#This Row],[Quantity]]*ordersTable[[#This Row],[UnitPrice]])-ordersTable[[#This Row],[TotalPrice]]</f>
        <v>0</v>
      </c>
    </row>
    <row r="499" spans="1:15" x14ac:dyDescent="0.3">
      <c r="A499" s="1" t="s">
        <v>511</v>
      </c>
      <c r="B499" s="2">
        <v>45589</v>
      </c>
      <c r="C499" s="3" t="s">
        <v>1711</v>
      </c>
      <c r="D499" s="1" t="s">
        <v>2407</v>
      </c>
      <c r="E499" s="5">
        <v>3</v>
      </c>
      <c r="F499" s="4">
        <v>112.29</v>
      </c>
      <c r="G499" s="1" t="s">
        <v>2790</v>
      </c>
      <c r="H499" s="1" t="s">
        <v>3068</v>
      </c>
      <c r="I499" s="1" t="s">
        <v>3070</v>
      </c>
      <c r="J499" s="1" t="s">
        <v>3572</v>
      </c>
      <c r="K499" s="1">
        <v>6</v>
      </c>
      <c r="M499" s="1" t="s">
        <v>4282</v>
      </c>
      <c r="N499" s="1">
        <v>336.87</v>
      </c>
      <c r="O499" s="1">
        <f>(ordersTable[[#This Row],[Quantity]]*ordersTable[[#This Row],[UnitPrice]])-ordersTable[[#This Row],[TotalPrice]]</f>
        <v>0</v>
      </c>
    </row>
    <row r="500" spans="1:15" x14ac:dyDescent="0.3">
      <c r="A500" s="1" t="s">
        <v>512</v>
      </c>
      <c r="B500" s="2">
        <v>45119</v>
      </c>
      <c r="C500" s="3" t="s">
        <v>1712</v>
      </c>
      <c r="D500" s="1" t="s">
        <v>2405</v>
      </c>
      <c r="E500" s="5">
        <v>4</v>
      </c>
      <c r="F500" s="4">
        <v>132.56</v>
      </c>
      <c r="G500" s="1" t="s">
        <v>2622</v>
      </c>
      <c r="H500" s="1" t="s">
        <v>3069</v>
      </c>
      <c r="I500" s="1" t="s">
        <v>3072</v>
      </c>
      <c r="J500" s="1" t="s">
        <v>3573</v>
      </c>
      <c r="K500" s="1">
        <v>8</v>
      </c>
      <c r="L500" s="1" t="s">
        <v>4277</v>
      </c>
      <c r="M500" s="1" t="s">
        <v>4278</v>
      </c>
      <c r="N500" s="1">
        <v>530.24</v>
      </c>
      <c r="O500" s="1">
        <f>(ordersTable[[#This Row],[Quantity]]*ordersTable[[#This Row],[UnitPrice]])-ordersTable[[#This Row],[TotalPrice]]</f>
        <v>0</v>
      </c>
    </row>
    <row r="501" spans="1:15" x14ac:dyDescent="0.3">
      <c r="A501" s="1" t="s">
        <v>513</v>
      </c>
      <c r="B501" s="2">
        <v>45022</v>
      </c>
      <c r="C501" s="3" t="s">
        <v>1713</v>
      </c>
      <c r="D501" s="1" t="s">
        <v>2407</v>
      </c>
      <c r="E501" s="5">
        <v>3</v>
      </c>
      <c r="F501" s="4">
        <v>539.46</v>
      </c>
      <c r="G501" s="1" t="s">
        <v>2791</v>
      </c>
      <c r="H501" s="1" t="s">
        <v>3067</v>
      </c>
      <c r="I501" s="1" t="s">
        <v>3070</v>
      </c>
      <c r="J501" s="1" t="s">
        <v>3574</v>
      </c>
      <c r="K501" s="1">
        <v>4</v>
      </c>
      <c r="L501" s="1" t="s">
        <v>4275</v>
      </c>
      <c r="M501" s="1" t="s">
        <v>4281</v>
      </c>
      <c r="N501" s="1">
        <v>1618.38</v>
      </c>
      <c r="O501" s="1">
        <f>(ordersTable[[#This Row],[Quantity]]*ordersTable[[#This Row],[UnitPrice]])-ordersTable[[#This Row],[TotalPrice]]</f>
        <v>0</v>
      </c>
    </row>
    <row r="502" spans="1:15" x14ac:dyDescent="0.3">
      <c r="A502" s="1" t="s">
        <v>514</v>
      </c>
      <c r="B502" s="2">
        <v>45389</v>
      </c>
      <c r="C502" s="3" t="s">
        <v>1714</v>
      </c>
      <c r="D502" s="1" t="s">
        <v>2408</v>
      </c>
      <c r="E502" s="5">
        <v>5</v>
      </c>
      <c r="F502" s="4">
        <v>508.59</v>
      </c>
      <c r="G502" s="1" t="s">
        <v>2792</v>
      </c>
      <c r="H502" s="1" t="s">
        <v>3069</v>
      </c>
      <c r="I502" s="1" t="s">
        <v>3072</v>
      </c>
      <c r="J502" s="1" t="s">
        <v>3575</v>
      </c>
      <c r="K502" s="1">
        <v>8</v>
      </c>
      <c r="L502" s="1" t="s">
        <v>4277</v>
      </c>
      <c r="M502" s="1" t="s">
        <v>4281</v>
      </c>
      <c r="N502" s="1">
        <v>2542.9499999999998</v>
      </c>
      <c r="O502" s="1">
        <f>(ordersTable[[#This Row],[Quantity]]*ordersTable[[#This Row],[UnitPrice]])-ordersTable[[#This Row],[TotalPrice]]</f>
        <v>0</v>
      </c>
    </row>
    <row r="503" spans="1:15" x14ac:dyDescent="0.3">
      <c r="A503" s="1" t="s">
        <v>515</v>
      </c>
      <c r="B503" s="2">
        <v>45326</v>
      </c>
      <c r="C503" s="3" t="s">
        <v>1715</v>
      </c>
      <c r="D503" s="1" t="s">
        <v>2409</v>
      </c>
      <c r="E503" s="5">
        <v>4</v>
      </c>
      <c r="F503" s="4">
        <v>203.46</v>
      </c>
      <c r="G503" s="1" t="s">
        <v>2559</v>
      </c>
      <c r="H503" s="1" t="s">
        <v>3067</v>
      </c>
      <c r="I503" s="1" t="s">
        <v>3074</v>
      </c>
      <c r="J503" s="1" t="s">
        <v>3576</v>
      </c>
      <c r="K503" s="1">
        <v>7</v>
      </c>
      <c r="L503" s="1" t="s">
        <v>4275</v>
      </c>
      <c r="M503" s="1" t="s">
        <v>4279</v>
      </c>
      <c r="N503" s="1">
        <v>813.84</v>
      </c>
      <c r="O503" s="1">
        <f>(ordersTable[[#This Row],[Quantity]]*ordersTable[[#This Row],[UnitPrice]])-ordersTable[[#This Row],[TotalPrice]]</f>
        <v>0</v>
      </c>
    </row>
    <row r="504" spans="1:15" x14ac:dyDescent="0.3">
      <c r="A504" s="1" t="s">
        <v>516</v>
      </c>
      <c r="B504" s="2">
        <v>45066</v>
      </c>
      <c r="C504" s="3" t="s">
        <v>1716</v>
      </c>
      <c r="D504" s="1" t="s">
        <v>2403</v>
      </c>
      <c r="E504" s="5">
        <v>3</v>
      </c>
      <c r="F504" s="4">
        <v>565.25</v>
      </c>
      <c r="G504" s="1" t="s">
        <v>2793</v>
      </c>
      <c r="H504" s="1" t="s">
        <v>3065</v>
      </c>
      <c r="I504" s="1" t="s">
        <v>3072</v>
      </c>
      <c r="J504" s="1" t="s">
        <v>3577</v>
      </c>
      <c r="K504" s="1">
        <v>7</v>
      </c>
      <c r="L504" s="1" t="s">
        <v>4275</v>
      </c>
      <c r="M504" s="1" t="s">
        <v>4280</v>
      </c>
      <c r="N504" s="1">
        <v>1695.75</v>
      </c>
      <c r="O504" s="1">
        <f>(ordersTable[[#This Row],[Quantity]]*ordersTable[[#This Row],[UnitPrice]])-ordersTable[[#This Row],[TotalPrice]]</f>
        <v>0</v>
      </c>
    </row>
    <row r="505" spans="1:15" x14ac:dyDescent="0.3">
      <c r="A505" s="1" t="s">
        <v>517</v>
      </c>
      <c r="B505" s="2">
        <v>45169</v>
      </c>
      <c r="C505" s="3" t="s">
        <v>1717</v>
      </c>
      <c r="D505" s="1" t="s">
        <v>2405</v>
      </c>
      <c r="E505" s="5">
        <v>3</v>
      </c>
      <c r="F505" s="4">
        <v>136.84</v>
      </c>
      <c r="G505" s="1" t="s">
        <v>2794</v>
      </c>
      <c r="H505" s="1" t="s">
        <v>3066</v>
      </c>
      <c r="I505" s="1" t="s">
        <v>3074</v>
      </c>
      <c r="J505" s="1" t="s">
        <v>3578</v>
      </c>
      <c r="K505" s="1">
        <v>4</v>
      </c>
      <c r="L505" s="1" t="s">
        <v>4276</v>
      </c>
      <c r="M505" s="1" t="s">
        <v>4281</v>
      </c>
      <c r="N505" s="1">
        <v>410.52</v>
      </c>
      <c r="O505" s="1">
        <f>(ordersTable[[#This Row],[Quantity]]*ordersTable[[#This Row],[UnitPrice]])-ordersTable[[#This Row],[TotalPrice]]</f>
        <v>0</v>
      </c>
    </row>
    <row r="506" spans="1:15" x14ac:dyDescent="0.3">
      <c r="A506" s="1" t="s">
        <v>518</v>
      </c>
      <c r="B506" s="2">
        <v>45819</v>
      </c>
      <c r="C506" s="3" t="s">
        <v>1718</v>
      </c>
      <c r="D506" s="1" t="s">
        <v>2403</v>
      </c>
      <c r="E506" s="5">
        <v>2</v>
      </c>
      <c r="F506" s="4">
        <v>464.5</v>
      </c>
      <c r="G506" s="1" t="s">
        <v>2795</v>
      </c>
      <c r="H506" s="1" t="s">
        <v>3066</v>
      </c>
      <c r="I506" s="1" t="s">
        <v>3071</v>
      </c>
      <c r="J506" s="1" t="s">
        <v>3579</v>
      </c>
      <c r="K506" s="1">
        <v>2</v>
      </c>
      <c r="L506" s="1" t="s">
        <v>4277</v>
      </c>
      <c r="M506" s="1" t="s">
        <v>4278</v>
      </c>
      <c r="N506" s="1">
        <v>929</v>
      </c>
      <c r="O506" s="1">
        <f>(ordersTable[[#This Row],[Quantity]]*ordersTable[[#This Row],[UnitPrice]])-ordersTable[[#This Row],[TotalPrice]]</f>
        <v>0</v>
      </c>
    </row>
    <row r="507" spans="1:15" x14ac:dyDescent="0.3">
      <c r="A507" s="1" t="s">
        <v>519</v>
      </c>
      <c r="B507" s="2">
        <v>45088</v>
      </c>
      <c r="C507" s="3" t="s">
        <v>1719</v>
      </c>
      <c r="D507" s="1" t="s">
        <v>2407</v>
      </c>
      <c r="E507" s="5">
        <v>2</v>
      </c>
      <c r="F507" s="4">
        <v>434.97</v>
      </c>
      <c r="G507" s="1" t="s">
        <v>2727</v>
      </c>
      <c r="H507" s="1" t="s">
        <v>3066</v>
      </c>
      <c r="I507" s="1" t="s">
        <v>3070</v>
      </c>
      <c r="J507" s="1" t="s">
        <v>3580</v>
      </c>
      <c r="K507" s="1">
        <v>7</v>
      </c>
      <c r="M507" s="1" t="s">
        <v>4280</v>
      </c>
      <c r="N507" s="1">
        <v>869.94</v>
      </c>
      <c r="O507" s="1">
        <f>(ordersTable[[#This Row],[Quantity]]*ordersTable[[#This Row],[UnitPrice]])-ordersTable[[#This Row],[TotalPrice]]</f>
        <v>0</v>
      </c>
    </row>
    <row r="508" spans="1:15" x14ac:dyDescent="0.3">
      <c r="A508" s="1" t="s">
        <v>520</v>
      </c>
      <c r="B508" s="2">
        <v>45132</v>
      </c>
      <c r="C508" s="3" t="s">
        <v>1720</v>
      </c>
      <c r="D508" s="1" t="s">
        <v>2403</v>
      </c>
      <c r="E508" s="5">
        <v>2</v>
      </c>
      <c r="F508" s="4">
        <v>43.67</v>
      </c>
      <c r="G508" s="1" t="s">
        <v>2796</v>
      </c>
      <c r="H508" s="1" t="s">
        <v>3069</v>
      </c>
      <c r="I508" s="1" t="s">
        <v>3072</v>
      </c>
      <c r="J508" s="1" t="s">
        <v>3581</v>
      </c>
      <c r="K508" s="1">
        <v>4</v>
      </c>
      <c r="L508" s="1" t="s">
        <v>4277</v>
      </c>
      <c r="M508" s="1" t="s">
        <v>4278</v>
      </c>
      <c r="N508" s="1">
        <v>87.34</v>
      </c>
      <c r="O508" s="1">
        <f>(ordersTable[[#This Row],[Quantity]]*ordersTable[[#This Row],[UnitPrice]])-ordersTable[[#This Row],[TotalPrice]]</f>
        <v>0</v>
      </c>
    </row>
    <row r="509" spans="1:15" x14ac:dyDescent="0.3">
      <c r="A509" s="1" t="s">
        <v>521</v>
      </c>
      <c r="B509" s="2">
        <v>45112</v>
      </c>
      <c r="C509" s="3" t="s">
        <v>1721</v>
      </c>
      <c r="D509" s="1" t="s">
        <v>2404</v>
      </c>
      <c r="E509" s="5">
        <v>1</v>
      </c>
      <c r="F509" s="4">
        <v>171.59</v>
      </c>
      <c r="G509" s="1" t="s">
        <v>2684</v>
      </c>
      <c r="H509" s="1" t="s">
        <v>3067</v>
      </c>
      <c r="I509" s="1" t="s">
        <v>3074</v>
      </c>
      <c r="J509" s="1" t="s">
        <v>3582</v>
      </c>
      <c r="K509" s="1">
        <v>5</v>
      </c>
      <c r="L509" s="1" t="s">
        <v>4277</v>
      </c>
      <c r="M509" s="1" t="s">
        <v>4280</v>
      </c>
      <c r="N509" s="1">
        <v>171.59</v>
      </c>
      <c r="O509" s="1">
        <f>(ordersTable[[#This Row],[Quantity]]*ordersTable[[#This Row],[UnitPrice]])-ordersTable[[#This Row],[TotalPrice]]</f>
        <v>0</v>
      </c>
    </row>
    <row r="510" spans="1:15" x14ac:dyDescent="0.3">
      <c r="A510" s="1" t="s">
        <v>522</v>
      </c>
      <c r="B510" s="2">
        <v>45791</v>
      </c>
      <c r="C510" s="3" t="s">
        <v>1722</v>
      </c>
      <c r="D510" s="1" t="s">
        <v>2404</v>
      </c>
      <c r="E510" s="5">
        <v>1</v>
      </c>
      <c r="F510" s="4">
        <v>558.27</v>
      </c>
      <c r="G510" s="1" t="s">
        <v>2797</v>
      </c>
      <c r="H510" s="1" t="s">
        <v>3066</v>
      </c>
      <c r="I510" s="1" t="s">
        <v>3073</v>
      </c>
      <c r="J510" s="1" t="s">
        <v>3583</v>
      </c>
      <c r="K510" s="1">
        <v>1</v>
      </c>
      <c r="M510" s="1" t="s">
        <v>4279</v>
      </c>
      <c r="N510" s="1">
        <v>558.27</v>
      </c>
      <c r="O510" s="1">
        <f>(ordersTable[[#This Row],[Quantity]]*ordersTable[[#This Row],[UnitPrice]])-ordersTable[[#This Row],[TotalPrice]]</f>
        <v>0</v>
      </c>
    </row>
    <row r="511" spans="1:15" x14ac:dyDescent="0.3">
      <c r="A511" s="1" t="s">
        <v>523</v>
      </c>
      <c r="B511" s="2">
        <v>44972</v>
      </c>
      <c r="C511" s="3" t="s">
        <v>1723</v>
      </c>
      <c r="D511" s="1" t="s">
        <v>2408</v>
      </c>
      <c r="E511" s="5">
        <v>2</v>
      </c>
      <c r="F511" s="4">
        <v>425.03</v>
      </c>
      <c r="G511" s="1" t="s">
        <v>2798</v>
      </c>
      <c r="H511" s="1" t="s">
        <v>3069</v>
      </c>
      <c r="I511" s="1" t="s">
        <v>3072</v>
      </c>
      <c r="J511" s="1" t="s">
        <v>3584</v>
      </c>
      <c r="K511" s="1">
        <v>2</v>
      </c>
      <c r="L511" s="1" t="s">
        <v>4277</v>
      </c>
      <c r="M511" s="1" t="s">
        <v>4282</v>
      </c>
      <c r="N511" s="1">
        <v>850.06</v>
      </c>
      <c r="O511" s="1">
        <f>(ordersTable[[#This Row],[Quantity]]*ordersTable[[#This Row],[UnitPrice]])-ordersTable[[#This Row],[TotalPrice]]</f>
        <v>0</v>
      </c>
    </row>
    <row r="512" spans="1:15" x14ac:dyDescent="0.3">
      <c r="A512" s="1" t="s">
        <v>524</v>
      </c>
      <c r="B512" s="2">
        <v>45642</v>
      </c>
      <c r="C512" s="3" t="s">
        <v>1724</v>
      </c>
      <c r="D512" s="1" t="s">
        <v>2407</v>
      </c>
      <c r="E512" s="5">
        <v>1</v>
      </c>
      <c r="F512" s="4">
        <v>376.76</v>
      </c>
      <c r="G512" s="1" t="s">
        <v>2799</v>
      </c>
      <c r="H512" s="1" t="s">
        <v>3065</v>
      </c>
      <c r="I512" s="1" t="s">
        <v>3073</v>
      </c>
      <c r="J512" s="1" t="s">
        <v>3585</v>
      </c>
      <c r="K512" s="1">
        <v>5</v>
      </c>
      <c r="L512" s="1" t="s">
        <v>4275</v>
      </c>
      <c r="M512" s="1" t="s">
        <v>4280</v>
      </c>
      <c r="N512" s="1">
        <v>376.76</v>
      </c>
      <c r="O512" s="1">
        <f>(ordersTable[[#This Row],[Quantity]]*ordersTable[[#This Row],[UnitPrice]])-ordersTable[[#This Row],[TotalPrice]]</f>
        <v>0</v>
      </c>
    </row>
    <row r="513" spans="1:15" x14ac:dyDescent="0.3">
      <c r="A513" s="1" t="s">
        <v>525</v>
      </c>
      <c r="B513" s="2">
        <v>45366</v>
      </c>
      <c r="C513" s="3" t="s">
        <v>1725</v>
      </c>
      <c r="D513" s="1" t="s">
        <v>2403</v>
      </c>
      <c r="E513" s="5">
        <v>5</v>
      </c>
      <c r="F513" s="4">
        <v>575.24</v>
      </c>
      <c r="G513" s="1" t="s">
        <v>2450</v>
      </c>
      <c r="H513" s="1" t="s">
        <v>3069</v>
      </c>
      <c r="I513" s="1" t="s">
        <v>3073</v>
      </c>
      <c r="J513" s="1" t="s">
        <v>3586</v>
      </c>
      <c r="K513" s="1">
        <v>7</v>
      </c>
      <c r="L513" s="1" t="s">
        <v>4277</v>
      </c>
      <c r="M513" s="1" t="s">
        <v>4280</v>
      </c>
      <c r="N513" s="1">
        <v>2876.2</v>
      </c>
      <c r="O513" s="1">
        <f>(ordersTable[[#This Row],[Quantity]]*ordersTable[[#This Row],[UnitPrice]])-ordersTable[[#This Row],[TotalPrice]]</f>
        <v>0</v>
      </c>
    </row>
    <row r="514" spans="1:15" x14ac:dyDescent="0.3">
      <c r="A514" s="1" t="s">
        <v>526</v>
      </c>
      <c r="B514" s="2">
        <v>45562</v>
      </c>
      <c r="C514" s="3" t="s">
        <v>1726</v>
      </c>
      <c r="D514" s="1" t="s">
        <v>2409</v>
      </c>
      <c r="E514" s="5">
        <v>3</v>
      </c>
      <c r="F514" s="4">
        <v>568.02</v>
      </c>
      <c r="G514" s="1" t="s">
        <v>2662</v>
      </c>
      <c r="H514" s="1" t="s">
        <v>3066</v>
      </c>
      <c r="I514" s="1" t="s">
        <v>3074</v>
      </c>
      <c r="J514" s="1" t="s">
        <v>3587</v>
      </c>
      <c r="K514" s="1">
        <v>3</v>
      </c>
      <c r="L514" s="1" t="s">
        <v>4276</v>
      </c>
      <c r="M514" s="1" t="s">
        <v>4278</v>
      </c>
      <c r="N514" s="1">
        <v>1704.06</v>
      </c>
      <c r="O514" s="1">
        <f>(ordersTable[[#This Row],[Quantity]]*ordersTable[[#This Row],[UnitPrice]])-ordersTable[[#This Row],[TotalPrice]]</f>
        <v>0</v>
      </c>
    </row>
    <row r="515" spans="1:15" x14ac:dyDescent="0.3">
      <c r="A515" s="1" t="s">
        <v>527</v>
      </c>
      <c r="B515" s="2">
        <v>45697</v>
      </c>
      <c r="C515" s="3" t="s">
        <v>1727</v>
      </c>
      <c r="D515" s="1" t="s">
        <v>2405</v>
      </c>
      <c r="E515" s="5">
        <v>3</v>
      </c>
      <c r="F515" s="4">
        <v>94.88</v>
      </c>
      <c r="G515" s="1" t="s">
        <v>2501</v>
      </c>
      <c r="H515" s="1" t="s">
        <v>3068</v>
      </c>
      <c r="I515" s="1" t="s">
        <v>3070</v>
      </c>
      <c r="J515" s="1" t="s">
        <v>3588</v>
      </c>
      <c r="K515" s="1">
        <v>8</v>
      </c>
      <c r="M515" s="1" t="s">
        <v>4279</v>
      </c>
      <c r="N515" s="1">
        <v>284.64</v>
      </c>
      <c r="O515" s="1">
        <f>(ordersTable[[#This Row],[Quantity]]*ordersTable[[#This Row],[UnitPrice]])-ordersTable[[#This Row],[TotalPrice]]</f>
        <v>0</v>
      </c>
    </row>
    <row r="516" spans="1:15" x14ac:dyDescent="0.3">
      <c r="A516" s="1" t="s">
        <v>528</v>
      </c>
      <c r="B516" s="2">
        <v>45032</v>
      </c>
      <c r="C516" s="3" t="s">
        <v>1728</v>
      </c>
      <c r="D516" s="1" t="s">
        <v>2407</v>
      </c>
      <c r="E516" s="5">
        <v>3</v>
      </c>
      <c r="F516" s="4">
        <v>304.14999999999998</v>
      </c>
      <c r="G516" s="1" t="s">
        <v>2764</v>
      </c>
      <c r="H516" s="1" t="s">
        <v>3068</v>
      </c>
      <c r="I516" s="1" t="s">
        <v>3070</v>
      </c>
      <c r="J516" s="1" t="s">
        <v>3589</v>
      </c>
      <c r="K516" s="1">
        <v>3</v>
      </c>
      <c r="L516" s="1" t="s">
        <v>4277</v>
      </c>
      <c r="M516" s="1" t="s">
        <v>4278</v>
      </c>
      <c r="N516" s="1">
        <v>912.44999999999993</v>
      </c>
      <c r="O516" s="1">
        <f>(ordersTable[[#This Row],[Quantity]]*ordersTable[[#This Row],[UnitPrice]])-ordersTable[[#This Row],[TotalPrice]]</f>
        <v>0</v>
      </c>
    </row>
    <row r="517" spans="1:15" x14ac:dyDescent="0.3">
      <c r="A517" s="1" t="s">
        <v>529</v>
      </c>
      <c r="B517" s="2">
        <v>44999</v>
      </c>
      <c r="C517" s="3" t="s">
        <v>1729</v>
      </c>
      <c r="D517" s="1" t="s">
        <v>2404</v>
      </c>
      <c r="E517" s="5">
        <v>3</v>
      </c>
      <c r="F517" s="4">
        <v>553.52</v>
      </c>
      <c r="G517" s="1" t="s">
        <v>2762</v>
      </c>
      <c r="H517" s="1" t="s">
        <v>3068</v>
      </c>
      <c r="I517" s="1" t="s">
        <v>3070</v>
      </c>
      <c r="J517" s="1" t="s">
        <v>3590</v>
      </c>
      <c r="K517" s="1">
        <v>4</v>
      </c>
      <c r="L517" s="1" t="s">
        <v>4276</v>
      </c>
      <c r="M517" s="1" t="s">
        <v>4281</v>
      </c>
      <c r="N517" s="1">
        <v>1660.56</v>
      </c>
      <c r="O517" s="1">
        <f>(ordersTable[[#This Row],[Quantity]]*ordersTable[[#This Row],[UnitPrice]])-ordersTable[[#This Row],[TotalPrice]]</f>
        <v>0</v>
      </c>
    </row>
    <row r="518" spans="1:15" x14ac:dyDescent="0.3">
      <c r="A518" s="1" t="s">
        <v>530</v>
      </c>
      <c r="B518" s="2">
        <v>45389</v>
      </c>
      <c r="C518" s="3" t="s">
        <v>1730</v>
      </c>
      <c r="D518" s="1" t="s">
        <v>2403</v>
      </c>
      <c r="E518" s="5">
        <v>3</v>
      </c>
      <c r="F518" s="4">
        <v>166.99</v>
      </c>
      <c r="G518" s="1" t="s">
        <v>2659</v>
      </c>
      <c r="H518" s="1" t="s">
        <v>3069</v>
      </c>
      <c r="I518" s="1" t="s">
        <v>3072</v>
      </c>
      <c r="J518" s="1" t="s">
        <v>3591</v>
      </c>
      <c r="K518" s="1">
        <v>8</v>
      </c>
      <c r="M518" s="1" t="s">
        <v>4281</v>
      </c>
      <c r="N518" s="1">
        <v>500.97</v>
      </c>
      <c r="O518" s="1">
        <f>(ordersTable[[#This Row],[Quantity]]*ordersTable[[#This Row],[UnitPrice]])-ordersTable[[#This Row],[TotalPrice]]</f>
        <v>0</v>
      </c>
    </row>
    <row r="519" spans="1:15" x14ac:dyDescent="0.3">
      <c r="A519" s="1" t="s">
        <v>531</v>
      </c>
      <c r="B519" s="2">
        <v>45391</v>
      </c>
      <c r="C519" s="3" t="s">
        <v>1731</v>
      </c>
      <c r="D519" s="1" t="s">
        <v>2405</v>
      </c>
      <c r="E519" s="5">
        <v>4</v>
      </c>
      <c r="F519" s="4">
        <v>198.35</v>
      </c>
      <c r="G519" s="1" t="s">
        <v>2781</v>
      </c>
      <c r="H519" s="1" t="s">
        <v>3069</v>
      </c>
      <c r="I519" s="1" t="s">
        <v>3071</v>
      </c>
      <c r="J519" s="1" t="s">
        <v>3592</v>
      </c>
      <c r="K519" s="1">
        <v>7</v>
      </c>
      <c r="L519" s="1" t="s">
        <v>4276</v>
      </c>
      <c r="M519" s="1" t="s">
        <v>4282</v>
      </c>
      <c r="N519" s="1">
        <v>793.4</v>
      </c>
      <c r="O519" s="1">
        <f>(ordersTable[[#This Row],[Quantity]]*ordersTable[[#This Row],[UnitPrice]])-ordersTable[[#This Row],[TotalPrice]]</f>
        <v>0</v>
      </c>
    </row>
    <row r="520" spans="1:15" x14ac:dyDescent="0.3">
      <c r="A520" s="1" t="s">
        <v>532</v>
      </c>
      <c r="B520" s="2">
        <v>45821</v>
      </c>
      <c r="C520" s="3" t="s">
        <v>1732</v>
      </c>
      <c r="D520" s="1" t="s">
        <v>2407</v>
      </c>
      <c r="E520" s="5">
        <v>4</v>
      </c>
      <c r="F520" s="4">
        <v>403.58</v>
      </c>
      <c r="G520" s="1" t="s">
        <v>2732</v>
      </c>
      <c r="H520" s="1" t="s">
        <v>3066</v>
      </c>
      <c r="I520" s="1" t="s">
        <v>3074</v>
      </c>
      <c r="J520" s="1" t="s">
        <v>3593</v>
      </c>
      <c r="K520" s="1">
        <v>9</v>
      </c>
      <c r="L520" s="1" t="s">
        <v>4275</v>
      </c>
      <c r="M520" s="1" t="s">
        <v>4279</v>
      </c>
      <c r="N520" s="1">
        <v>1614.32</v>
      </c>
      <c r="O520" s="1">
        <f>(ordersTable[[#This Row],[Quantity]]*ordersTable[[#This Row],[UnitPrice]])-ordersTable[[#This Row],[TotalPrice]]</f>
        <v>0</v>
      </c>
    </row>
    <row r="521" spans="1:15" x14ac:dyDescent="0.3">
      <c r="A521" s="1" t="s">
        <v>533</v>
      </c>
      <c r="B521" s="2">
        <v>45787</v>
      </c>
      <c r="C521" s="3" t="s">
        <v>1733</v>
      </c>
      <c r="D521" s="1" t="s">
        <v>2408</v>
      </c>
      <c r="E521" s="5">
        <v>4</v>
      </c>
      <c r="F521" s="4">
        <v>464.29</v>
      </c>
      <c r="G521" s="1" t="s">
        <v>2800</v>
      </c>
      <c r="H521" s="1" t="s">
        <v>3065</v>
      </c>
      <c r="I521" s="1" t="s">
        <v>3072</v>
      </c>
      <c r="J521" s="1" t="s">
        <v>3594</v>
      </c>
      <c r="K521" s="1">
        <v>5</v>
      </c>
      <c r="L521" s="1" t="s">
        <v>4275</v>
      </c>
      <c r="M521" s="1" t="s">
        <v>4280</v>
      </c>
      <c r="N521" s="1">
        <v>1857.16</v>
      </c>
      <c r="O521" s="1">
        <f>(ordersTable[[#This Row],[Quantity]]*ordersTable[[#This Row],[UnitPrice]])-ordersTable[[#This Row],[TotalPrice]]</f>
        <v>0</v>
      </c>
    </row>
    <row r="522" spans="1:15" x14ac:dyDescent="0.3">
      <c r="A522" s="1" t="s">
        <v>534</v>
      </c>
      <c r="B522" s="2">
        <v>44995</v>
      </c>
      <c r="C522" s="3" t="s">
        <v>1734</v>
      </c>
      <c r="D522" s="1" t="s">
        <v>2403</v>
      </c>
      <c r="E522" s="5">
        <v>3</v>
      </c>
      <c r="F522" s="4">
        <v>635.98</v>
      </c>
      <c r="G522" s="1" t="s">
        <v>2801</v>
      </c>
      <c r="H522" s="1" t="s">
        <v>3069</v>
      </c>
      <c r="I522" s="1" t="s">
        <v>3072</v>
      </c>
      <c r="J522" s="1" t="s">
        <v>3595</v>
      </c>
      <c r="K522" s="1">
        <v>5</v>
      </c>
      <c r="M522" s="1" t="s">
        <v>4279</v>
      </c>
      <c r="N522" s="1">
        <v>1907.94</v>
      </c>
      <c r="O522" s="1">
        <f>(ordersTable[[#This Row],[Quantity]]*ordersTable[[#This Row],[UnitPrice]])-ordersTable[[#This Row],[TotalPrice]]</f>
        <v>0</v>
      </c>
    </row>
    <row r="523" spans="1:15" x14ac:dyDescent="0.3">
      <c r="A523" s="1" t="s">
        <v>535</v>
      </c>
      <c r="B523" s="2">
        <v>45347</v>
      </c>
      <c r="C523" s="3" t="s">
        <v>1735</v>
      </c>
      <c r="D523" s="1" t="s">
        <v>2404</v>
      </c>
      <c r="E523" s="5">
        <v>1</v>
      </c>
      <c r="F523" s="4">
        <v>528.05999999999995</v>
      </c>
      <c r="G523" s="1" t="s">
        <v>2802</v>
      </c>
      <c r="H523" s="1" t="s">
        <v>3067</v>
      </c>
      <c r="I523" s="1" t="s">
        <v>3070</v>
      </c>
      <c r="J523" s="1" t="s">
        <v>3596</v>
      </c>
      <c r="K523" s="1">
        <v>2</v>
      </c>
      <c r="M523" s="1" t="s">
        <v>4281</v>
      </c>
      <c r="N523" s="1">
        <v>528.05999999999995</v>
      </c>
      <c r="O523" s="1">
        <f>(ordersTable[[#This Row],[Quantity]]*ordersTable[[#This Row],[UnitPrice]])-ordersTable[[#This Row],[TotalPrice]]</f>
        <v>0</v>
      </c>
    </row>
    <row r="524" spans="1:15" x14ac:dyDescent="0.3">
      <c r="A524" s="1" t="s">
        <v>536</v>
      </c>
      <c r="B524" s="2">
        <v>45402</v>
      </c>
      <c r="C524" s="3" t="s">
        <v>1736</v>
      </c>
      <c r="D524" s="1" t="s">
        <v>2406</v>
      </c>
      <c r="E524" s="5">
        <v>1</v>
      </c>
      <c r="F524" s="4">
        <v>515.32000000000005</v>
      </c>
      <c r="G524" s="1" t="s">
        <v>2650</v>
      </c>
      <c r="H524" s="1" t="s">
        <v>3068</v>
      </c>
      <c r="I524" s="1" t="s">
        <v>3071</v>
      </c>
      <c r="J524" s="1" t="s">
        <v>3597</v>
      </c>
      <c r="K524" s="1">
        <v>1</v>
      </c>
      <c r="L524" s="1" t="s">
        <v>4276</v>
      </c>
      <c r="M524" s="1" t="s">
        <v>4280</v>
      </c>
      <c r="N524" s="1">
        <v>515.32000000000005</v>
      </c>
      <c r="O524" s="1">
        <f>(ordersTable[[#This Row],[Quantity]]*ordersTable[[#This Row],[UnitPrice]])-ordersTable[[#This Row],[TotalPrice]]</f>
        <v>0</v>
      </c>
    </row>
    <row r="525" spans="1:15" x14ac:dyDescent="0.3">
      <c r="A525" s="1" t="s">
        <v>537</v>
      </c>
      <c r="B525" s="2">
        <v>45706</v>
      </c>
      <c r="C525" s="3" t="s">
        <v>1737</v>
      </c>
      <c r="D525" s="1" t="s">
        <v>2409</v>
      </c>
      <c r="E525" s="5">
        <v>4</v>
      </c>
      <c r="F525" s="4">
        <v>657.79</v>
      </c>
      <c r="G525" s="1" t="s">
        <v>2741</v>
      </c>
      <c r="H525" s="1" t="s">
        <v>3067</v>
      </c>
      <c r="I525" s="1" t="s">
        <v>3072</v>
      </c>
      <c r="J525" s="1" t="s">
        <v>3598</v>
      </c>
      <c r="K525" s="1">
        <v>6</v>
      </c>
      <c r="L525" s="1" t="s">
        <v>4277</v>
      </c>
      <c r="M525" s="1" t="s">
        <v>4282</v>
      </c>
      <c r="N525" s="1">
        <v>2631.16</v>
      </c>
      <c r="O525" s="1">
        <f>(ordersTable[[#This Row],[Quantity]]*ordersTable[[#This Row],[UnitPrice]])-ordersTable[[#This Row],[TotalPrice]]</f>
        <v>0</v>
      </c>
    </row>
    <row r="526" spans="1:15" x14ac:dyDescent="0.3">
      <c r="A526" s="1" t="s">
        <v>538</v>
      </c>
      <c r="B526" s="2">
        <v>45224</v>
      </c>
      <c r="C526" s="3" t="s">
        <v>1738</v>
      </c>
      <c r="D526" s="1" t="s">
        <v>2404</v>
      </c>
      <c r="E526" s="5">
        <v>1</v>
      </c>
      <c r="F526" s="4">
        <v>153</v>
      </c>
      <c r="G526" s="1" t="s">
        <v>2483</v>
      </c>
      <c r="H526" s="1" t="s">
        <v>3067</v>
      </c>
      <c r="I526" s="1" t="s">
        <v>3072</v>
      </c>
      <c r="J526" s="1" t="s">
        <v>3599</v>
      </c>
      <c r="K526" s="1">
        <v>4</v>
      </c>
      <c r="M526" s="1" t="s">
        <v>4279</v>
      </c>
      <c r="N526" s="1">
        <v>153</v>
      </c>
      <c r="O526" s="1">
        <f>(ordersTable[[#This Row],[Quantity]]*ordersTable[[#This Row],[UnitPrice]])-ordersTable[[#This Row],[TotalPrice]]</f>
        <v>0</v>
      </c>
    </row>
    <row r="527" spans="1:15" x14ac:dyDescent="0.3">
      <c r="A527" s="1" t="s">
        <v>539</v>
      </c>
      <c r="B527" s="2">
        <v>45263</v>
      </c>
      <c r="C527" s="3" t="s">
        <v>1739</v>
      </c>
      <c r="D527" s="1" t="s">
        <v>2403</v>
      </c>
      <c r="E527" s="5">
        <v>1</v>
      </c>
      <c r="F527" s="4">
        <v>668.48</v>
      </c>
      <c r="G527" s="1" t="s">
        <v>2762</v>
      </c>
      <c r="H527" s="1" t="s">
        <v>3065</v>
      </c>
      <c r="I527" s="1" t="s">
        <v>3070</v>
      </c>
      <c r="J527" s="1" t="s">
        <v>3600</v>
      </c>
      <c r="K527" s="1">
        <v>1</v>
      </c>
      <c r="L527" s="1" t="s">
        <v>4275</v>
      </c>
      <c r="M527" s="1" t="s">
        <v>4280</v>
      </c>
      <c r="N527" s="1">
        <v>668.48</v>
      </c>
      <c r="O527" s="1">
        <f>(ordersTable[[#This Row],[Quantity]]*ordersTable[[#This Row],[UnitPrice]])-ordersTable[[#This Row],[TotalPrice]]</f>
        <v>0</v>
      </c>
    </row>
    <row r="528" spans="1:15" x14ac:dyDescent="0.3">
      <c r="A528" s="1" t="s">
        <v>540</v>
      </c>
      <c r="B528" s="2">
        <v>45351</v>
      </c>
      <c r="C528" s="3" t="s">
        <v>1740</v>
      </c>
      <c r="D528" s="1" t="s">
        <v>2409</v>
      </c>
      <c r="E528" s="5">
        <v>2</v>
      </c>
      <c r="F528" s="4">
        <v>46.5</v>
      </c>
      <c r="G528" s="1" t="s">
        <v>2497</v>
      </c>
      <c r="H528" s="1" t="s">
        <v>3069</v>
      </c>
      <c r="I528" s="1" t="s">
        <v>3072</v>
      </c>
      <c r="J528" s="1" t="s">
        <v>3601</v>
      </c>
      <c r="K528" s="1">
        <v>7</v>
      </c>
      <c r="L528" s="1" t="s">
        <v>4277</v>
      </c>
      <c r="M528" s="1" t="s">
        <v>4282</v>
      </c>
      <c r="N528" s="1">
        <v>93</v>
      </c>
      <c r="O528" s="1">
        <f>(ordersTable[[#This Row],[Quantity]]*ordersTable[[#This Row],[UnitPrice]])-ordersTable[[#This Row],[TotalPrice]]</f>
        <v>0</v>
      </c>
    </row>
    <row r="529" spans="1:15" x14ac:dyDescent="0.3">
      <c r="A529" s="1" t="s">
        <v>541</v>
      </c>
      <c r="B529" s="2">
        <v>45523</v>
      </c>
      <c r="C529" s="3" t="s">
        <v>1741</v>
      </c>
      <c r="D529" s="1" t="s">
        <v>2406</v>
      </c>
      <c r="E529" s="5">
        <v>5</v>
      </c>
      <c r="F529" s="4">
        <v>653.47</v>
      </c>
      <c r="G529" s="1" t="s">
        <v>2488</v>
      </c>
      <c r="H529" s="1" t="s">
        <v>3067</v>
      </c>
      <c r="I529" s="1" t="s">
        <v>3071</v>
      </c>
      <c r="J529" s="1" t="s">
        <v>3602</v>
      </c>
      <c r="K529" s="1">
        <v>10</v>
      </c>
      <c r="L529" s="1" t="s">
        <v>4275</v>
      </c>
      <c r="M529" s="1" t="s">
        <v>4279</v>
      </c>
      <c r="N529" s="1">
        <v>3267.35</v>
      </c>
      <c r="O529" s="1">
        <f>(ordersTable[[#This Row],[Quantity]]*ordersTable[[#This Row],[UnitPrice]])-ordersTable[[#This Row],[TotalPrice]]</f>
        <v>0</v>
      </c>
    </row>
    <row r="530" spans="1:15" x14ac:dyDescent="0.3">
      <c r="A530" s="1" t="s">
        <v>542</v>
      </c>
      <c r="B530" s="2">
        <v>45714</v>
      </c>
      <c r="C530" s="3" t="s">
        <v>1742</v>
      </c>
      <c r="D530" s="1" t="s">
        <v>2406</v>
      </c>
      <c r="E530" s="5">
        <v>1</v>
      </c>
      <c r="F530" s="4">
        <v>628.89</v>
      </c>
      <c r="G530" s="1" t="s">
        <v>2765</v>
      </c>
      <c r="H530" s="1" t="s">
        <v>3067</v>
      </c>
      <c r="I530" s="1" t="s">
        <v>3072</v>
      </c>
      <c r="J530" s="1" t="s">
        <v>3603</v>
      </c>
      <c r="K530" s="1">
        <v>2</v>
      </c>
      <c r="L530" s="1" t="s">
        <v>4275</v>
      </c>
      <c r="M530" s="1" t="s">
        <v>4279</v>
      </c>
      <c r="N530" s="1">
        <v>628.89</v>
      </c>
      <c r="O530" s="1">
        <f>(ordersTable[[#This Row],[Quantity]]*ordersTable[[#This Row],[UnitPrice]])-ordersTable[[#This Row],[TotalPrice]]</f>
        <v>0</v>
      </c>
    </row>
    <row r="531" spans="1:15" x14ac:dyDescent="0.3">
      <c r="A531" s="1" t="s">
        <v>543</v>
      </c>
      <c r="B531" s="2">
        <v>45389</v>
      </c>
      <c r="C531" s="3" t="s">
        <v>1743</v>
      </c>
      <c r="D531" s="1" t="s">
        <v>2405</v>
      </c>
      <c r="E531" s="5">
        <v>2</v>
      </c>
      <c r="F531" s="4">
        <v>675.1</v>
      </c>
      <c r="G531" s="1" t="s">
        <v>2803</v>
      </c>
      <c r="H531" s="1" t="s">
        <v>3069</v>
      </c>
      <c r="I531" s="1" t="s">
        <v>3074</v>
      </c>
      <c r="J531" s="1" t="s">
        <v>3604</v>
      </c>
      <c r="K531" s="1">
        <v>4</v>
      </c>
      <c r="L531" s="1" t="s">
        <v>4276</v>
      </c>
      <c r="M531" s="1" t="s">
        <v>4282</v>
      </c>
      <c r="N531" s="1">
        <v>1350.2</v>
      </c>
      <c r="O531" s="1">
        <f>(ordersTable[[#This Row],[Quantity]]*ordersTable[[#This Row],[UnitPrice]])-ordersTable[[#This Row],[TotalPrice]]</f>
        <v>0</v>
      </c>
    </row>
    <row r="532" spans="1:15" x14ac:dyDescent="0.3">
      <c r="A532" s="1" t="s">
        <v>544</v>
      </c>
      <c r="B532" s="2">
        <v>45491</v>
      </c>
      <c r="C532" s="3" t="s">
        <v>1744</v>
      </c>
      <c r="D532" s="1" t="s">
        <v>2406</v>
      </c>
      <c r="E532" s="5">
        <v>4</v>
      </c>
      <c r="F532" s="4">
        <v>89.41</v>
      </c>
      <c r="G532" s="1" t="s">
        <v>2804</v>
      </c>
      <c r="H532" s="1" t="s">
        <v>3066</v>
      </c>
      <c r="I532" s="1" t="s">
        <v>3074</v>
      </c>
      <c r="J532" s="1" t="s">
        <v>3605</v>
      </c>
      <c r="K532" s="1">
        <v>9</v>
      </c>
      <c r="M532" s="1" t="s">
        <v>4282</v>
      </c>
      <c r="N532" s="1">
        <v>357.64</v>
      </c>
      <c r="O532" s="1">
        <f>(ordersTable[[#This Row],[Quantity]]*ordersTable[[#This Row],[UnitPrice]])-ordersTable[[#This Row],[TotalPrice]]</f>
        <v>0</v>
      </c>
    </row>
    <row r="533" spans="1:15" x14ac:dyDescent="0.3">
      <c r="A533" s="1" t="s">
        <v>545</v>
      </c>
      <c r="B533" s="2">
        <v>45475</v>
      </c>
      <c r="C533" s="3" t="s">
        <v>1745</v>
      </c>
      <c r="D533" s="1" t="s">
        <v>2409</v>
      </c>
      <c r="E533" s="5">
        <v>5</v>
      </c>
      <c r="F533" s="4">
        <v>320.01</v>
      </c>
      <c r="G533" s="1" t="s">
        <v>2805</v>
      </c>
      <c r="H533" s="1" t="s">
        <v>3068</v>
      </c>
      <c r="I533" s="1" t="s">
        <v>3073</v>
      </c>
      <c r="J533" s="1" t="s">
        <v>3606</v>
      </c>
      <c r="K533" s="1">
        <v>6</v>
      </c>
      <c r="M533" s="1" t="s">
        <v>4279</v>
      </c>
      <c r="N533" s="1">
        <v>1600.05</v>
      </c>
      <c r="O533" s="1">
        <f>(ordersTable[[#This Row],[Quantity]]*ordersTable[[#This Row],[UnitPrice]])-ordersTable[[#This Row],[TotalPrice]]</f>
        <v>0</v>
      </c>
    </row>
    <row r="534" spans="1:15" x14ac:dyDescent="0.3">
      <c r="A534" s="1" t="s">
        <v>546</v>
      </c>
      <c r="B534" s="2">
        <v>45780</v>
      </c>
      <c r="C534" s="3" t="s">
        <v>1746</v>
      </c>
      <c r="D534" s="1" t="s">
        <v>2408</v>
      </c>
      <c r="E534" s="5">
        <v>2</v>
      </c>
      <c r="F534" s="4">
        <v>41</v>
      </c>
      <c r="G534" s="1" t="s">
        <v>2806</v>
      </c>
      <c r="H534" s="1" t="s">
        <v>3066</v>
      </c>
      <c r="I534" s="1" t="s">
        <v>3073</v>
      </c>
      <c r="J534" s="1" t="s">
        <v>3607</v>
      </c>
      <c r="K534" s="1">
        <v>7</v>
      </c>
      <c r="M534" s="1" t="s">
        <v>4280</v>
      </c>
      <c r="N534" s="1">
        <v>82</v>
      </c>
      <c r="O534" s="1">
        <f>(ordersTable[[#This Row],[Quantity]]*ordersTable[[#This Row],[UnitPrice]])-ordersTable[[#This Row],[TotalPrice]]</f>
        <v>0</v>
      </c>
    </row>
    <row r="535" spans="1:15" x14ac:dyDescent="0.3">
      <c r="A535" s="1" t="s">
        <v>547</v>
      </c>
      <c r="B535" s="2">
        <v>44990</v>
      </c>
      <c r="C535" s="3" t="s">
        <v>1747</v>
      </c>
      <c r="D535" s="1" t="s">
        <v>2409</v>
      </c>
      <c r="E535" s="5">
        <v>1</v>
      </c>
      <c r="F535" s="4">
        <v>565.85</v>
      </c>
      <c r="G535" s="1" t="s">
        <v>2472</v>
      </c>
      <c r="H535" s="1" t="s">
        <v>3068</v>
      </c>
      <c r="I535" s="1" t="s">
        <v>3072</v>
      </c>
      <c r="J535" s="1" t="s">
        <v>3608</v>
      </c>
      <c r="K535" s="1">
        <v>1</v>
      </c>
      <c r="L535" s="1" t="s">
        <v>4276</v>
      </c>
      <c r="M535" s="1" t="s">
        <v>4281</v>
      </c>
      <c r="N535" s="1">
        <v>565.85</v>
      </c>
      <c r="O535" s="1">
        <f>(ordersTable[[#This Row],[Quantity]]*ordersTable[[#This Row],[UnitPrice]])-ordersTable[[#This Row],[TotalPrice]]</f>
        <v>0</v>
      </c>
    </row>
    <row r="536" spans="1:15" x14ac:dyDescent="0.3">
      <c r="A536" s="1" t="s">
        <v>548</v>
      </c>
      <c r="B536" s="2">
        <v>45449</v>
      </c>
      <c r="C536" s="3" t="s">
        <v>1748</v>
      </c>
      <c r="D536" s="1" t="s">
        <v>2406</v>
      </c>
      <c r="E536" s="5">
        <v>3</v>
      </c>
      <c r="F536" s="4">
        <v>648.59</v>
      </c>
      <c r="G536" s="1" t="s">
        <v>2807</v>
      </c>
      <c r="H536" s="1" t="s">
        <v>3065</v>
      </c>
      <c r="I536" s="1" t="s">
        <v>3071</v>
      </c>
      <c r="J536" s="1" t="s">
        <v>3609</v>
      </c>
      <c r="K536" s="1">
        <v>4</v>
      </c>
      <c r="L536" s="1" t="s">
        <v>4275</v>
      </c>
      <c r="M536" s="1" t="s">
        <v>4280</v>
      </c>
      <c r="N536" s="1">
        <v>1945.77</v>
      </c>
      <c r="O536" s="1">
        <f>(ordersTable[[#This Row],[Quantity]]*ordersTable[[#This Row],[UnitPrice]])-ordersTable[[#This Row],[TotalPrice]]</f>
        <v>0</v>
      </c>
    </row>
    <row r="537" spans="1:15" x14ac:dyDescent="0.3">
      <c r="A537" s="1" t="s">
        <v>549</v>
      </c>
      <c r="B537" s="2">
        <v>45497</v>
      </c>
      <c r="C537" s="3" t="s">
        <v>1749</v>
      </c>
      <c r="D537" s="1" t="s">
        <v>2403</v>
      </c>
      <c r="E537" s="5">
        <v>3</v>
      </c>
      <c r="F537" s="4">
        <v>68.12</v>
      </c>
      <c r="G537" s="1" t="s">
        <v>2567</v>
      </c>
      <c r="H537" s="1" t="s">
        <v>3066</v>
      </c>
      <c r="I537" s="1" t="s">
        <v>3071</v>
      </c>
      <c r="J537" s="1" t="s">
        <v>3610</v>
      </c>
      <c r="K537" s="1">
        <v>3</v>
      </c>
      <c r="L537" s="1" t="s">
        <v>4276</v>
      </c>
      <c r="M537" s="1" t="s">
        <v>4280</v>
      </c>
      <c r="N537" s="1">
        <v>204.36</v>
      </c>
      <c r="O537" s="1">
        <f>(ordersTable[[#This Row],[Quantity]]*ordersTable[[#This Row],[UnitPrice]])-ordersTable[[#This Row],[TotalPrice]]</f>
        <v>0</v>
      </c>
    </row>
    <row r="538" spans="1:15" x14ac:dyDescent="0.3">
      <c r="A538" s="1" t="s">
        <v>550</v>
      </c>
      <c r="B538" s="2">
        <v>45452</v>
      </c>
      <c r="C538" s="3" t="s">
        <v>1750</v>
      </c>
      <c r="D538" s="1" t="s">
        <v>2406</v>
      </c>
      <c r="E538" s="5">
        <v>1</v>
      </c>
      <c r="F538" s="4">
        <v>616.1</v>
      </c>
      <c r="G538" s="1" t="s">
        <v>2808</v>
      </c>
      <c r="H538" s="1" t="s">
        <v>3069</v>
      </c>
      <c r="I538" s="1" t="s">
        <v>3072</v>
      </c>
      <c r="J538" s="1" t="s">
        <v>3611</v>
      </c>
      <c r="K538" s="1">
        <v>6</v>
      </c>
      <c r="M538" s="1" t="s">
        <v>4280</v>
      </c>
      <c r="N538" s="1">
        <v>616.1</v>
      </c>
      <c r="O538" s="1">
        <f>(ordersTable[[#This Row],[Quantity]]*ordersTable[[#This Row],[UnitPrice]])-ordersTable[[#This Row],[TotalPrice]]</f>
        <v>0</v>
      </c>
    </row>
    <row r="539" spans="1:15" x14ac:dyDescent="0.3">
      <c r="A539" s="1" t="s">
        <v>551</v>
      </c>
      <c r="B539" s="2">
        <v>45739</v>
      </c>
      <c r="C539" s="3" t="s">
        <v>1751</v>
      </c>
      <c r="D539" s="1" t="s">
        <v>2405</v>
      </c>
      <c r="E539" s="5">
        <v>3</v>
      </c>
      <c r="F539" s="4">
        <v>247.47</v>
      </c>
      <c r="G539" s="1" t="s">
        <v>2471</v>
      </c>
      <c r="H539" s="1" t="s">
        <v>3066</v>
      </c>
      <c r="I539" s="1" t="s">
        <v>3073</v>
      </c>
      <c r="J539" s="1" t="s">
        <v>3612</v>
      </c>
      <c r="K539" s="1">
        <v>4</v>
      </c>
      <c r="L539" s="1" t="s">
        <v>4275</v>
      </c>
      <c r="M539" s="1" t="s">
        <v>4281</v>
      </c>
      <c r="N539" s="1">
        <v>742.41</v>
      </c>
      <c r="O539" s="1">
        <f>(ordersTable[[#This Row],[Quantity]]*ordersTable[[#This Row],[UnitPrice]])-ordersTable[[#This Row],[TotalPrice]]</f>
        <v>0</v>
      </c>
    </row>
    <row r="540" spans="1:15" x14ac:dyDescent="0.3">
      <c r="A540" s="1" t="s">
        <v>552</v>
      </c>
      <c r="B540" s="2">
        <v>45436</v>
      </c>
      <c r="C540" s="3" t="s">
        <v>1752</v>
      </c>
      <c r="D540" s="1" t="s">
        <v>2404</v>
      </c>
      <c r="E540" s="5">
        <v>3</v>
      </c>
      <c r="F540" s="4">
        <v>490.74</v>
      </c>
      <c r="G540" s="1" t="s">
        <v>2809</v>
      </c>
      <c r="H540" s="1" t="s">
        <v>3069</v>
      </c>
      <c r="I540" s="1" t="s">
        <v>3070</v>
      </c>
      <c r="J540" s="1" t="s">
        <v>3613</v>
      </c>
      <c r="K540" s="1">
        <v>3</v>
      </c>
      <c r="L540" s="1" t="s">
        <v>4277</v>
      </c>
      <c r="M540" s="1" t="s">
        <v>4280</v>
      </c>
      <c r="N540" s="1">
        <v>1472.22</v>
      </c>
      <c r="O540" s="1">
        <f>(ordersTable[[#This Row],[Quantity]]*ordersTable[[#This Row],[UnitPrice]])-ordersTable[[#This Row],[TotalPrice]]</f>
        <v>0</v>
      </c>
    </row>
    <row r="541" spans="1:15" x14ac:dyDescent="0.3">
      <c r="A541" s="1" t="s">
        <v>553</v>
      </c>
      <c r="B541" s="2">
        <v>45706</v>
      </c>
      <c r="C541" s="3" t="s">
        <v>1753</v>
      </c>
      <c r="D541" s="1" t="s">
        <v>2409</v>
      </c>
      <c r="E541" s="5">
        <v>3</v>
      </c>
      <c r="F541" s="4">
        <v>531.72</v>
      </c>
      <c r="G541" s="1" t="s">
        <v>2810</v>
      </c>
      <c r="H541" s="1" t="s">
        <v>3068</v>
      </c>
      <c r="I541" s="1" t="s">
        <v>3073</v>
      </c>
      <c r="J541" s="1" t="s">
        <v>3614</v>
      </c>
      <c r="K541" s="1">
        <v>7</v>
      </c>
      <c r="L541" s="1" t="s">
        <v>4275</v>
      </c>
      <c r="M541" s="1" t="s">
        <v>4282</v>
      </c>
      <c r="N541" s="1">
        <v>1595.16</v>
      </c>
      <c r="O541" s="1">
        <f>(ordersTable[[#This Row],[Quantity]]*ordersTable[[#This Row],[UnitPrice]])-ordersTable[[#This Row],[TotalPrice]]</f>
        <v>0</v>
      </c>
    </row>
    <row r="542" spans="1:15" x14ac:dyDescent="0.3">
      <c r="A542" s="1" t="s">
        <v>554</v>
      </c>
      <c r="B542" s="2">
        <v>45320</v>
      </c>
      <c r="C542" s="3" t="s">
        <v>1754</v>
      </c>
      <c r="D542" s="1" t="s">
        <v>2408</v>
      </c>
      <c r="E542" s="5">
        <v>5</v>
      </c>
      <c r="F542" s="4">
        <v>648.65</v>
      </c>
      <c r="G542" s="1" t="s">
        <v>2811</v>
      </c>
      <c r="H542" s="1" t="s">
        <v>3066</v>
      </c>
      <c r="I542" s="1" t="s">
        <v>3074</v>
      </c>
      <c r="J542" s="1" t="s">
        <v>3615</v>
      </c>
      <c r="K542" s="1">
        <v>7</v>
      </c>
      <c r="M542" s="1" t="s">
        <v>4279</v>
      </c>
      <c r="N542" s="1">
        <v>3243.25</v>
      </c>
      <c r="O542" s="1">
        <f>(ordersTable[[#This Row],[Quantity]]*ordersTable[[#This Row],[UnitPrice]])-ordersTable[[#This Row],[TotalPrice]]</f>
        <v>0</v>
      </c>
    </row>
    <row r="543" spans="1:15" x14ac:dyDescent="0.3">
      <c r="A543" s="1" t="s">
        <v>555</v>
      </c>
      <c r="B543" s="2">
        <v>45145</v>
      </c>
      <c r="C543" s="3" t="s">
        <v>1755</v>
      </c>
      <c r="D543" s="1" t="s">
        <v>2407</v>
      </c>
      <c r="E543" s="5">
        <v>5</v>
      </c>
      <c r="F543" s="4">
        <v>456.06</v>
      </c>
      <c r="G543" s="1" t="s">
        <v>2812</v>
      </c>
      <c r="H543" s="1" t="s">
        <v>3069</v>
      </c>
      <c r="I543" s="1" t="s">
        <v>3074</v>
      </c>
      <c r="J543" s="1" t="s">
        <v>3616</v>
      </c>
      <c r="K543" s="1">
        <v>10</v>
      </c>
      <c r="M543" s="1" t="s">
        <v>4278</v>
      </c>
      <c r="N543" s="1">
        <v>2280.3000000000002</v>
      </c>
      <c r="O543" s="1">
        <f>(ordersTable[[#This Row],[Quantity]]*ordersTable[[#This Row],[UnitPrice]])-ordersTable[[#This Row],[TotalPrice]]</f>
        <v>0</v>
      </c>
    </row>
    <row r="544" spans="1:15" x14ac:dyDescent="0.3">
      <c r="A544" s="1" t="s">
        <v>556</v>
      </c>
      <c r="B544" s="2">
        <v>45244</v>
      </c>
      <c r="C544" s="3" t="s">
        <v>1756</v>
      </c>
      <c r="D544" s="1" t="s">
        <v>2405</v>
      </c>
      <c r="E544" s="5">
        <v>1</v>
      </c>
      <c r="F544" s="4">
        <v>17.98</v>
      </c>
      <c r="G544" s="1" t="s">
        <v>2415</v>
      </c>
      <c r="H544" s="1" t="s">
        <v>3069</v>
      </c>
      <c r="I544" s="1" t="s">
        <v>3071</v>
      </c>
      <c r="J544" s="1" t="s">
        <v>3617</v>
      </c>
      <c r="K544" s="1">
        <v>6</v>
      </c>
      <c r="L544" s="1" t="s">
        <v>4276</v>
      </c>
      <c r="M544" s="1" t="s">
        <v>4280</v>
      </c>
      <c r="N544" s="1">
        <v>17.98</v>
      </c>
      <c r="O544" s="1">
        <f>(ordersTable[[#This Row],[Quantity]]*ordersTable[[#This Row],[UnitPrice]])-ordersTable[[#This Row],[TotalPrice]]</f>
        <v>0</v>
      </c>
    </row>
    <row r="545" spans="1:15" x14ac:dyDescent="0.3">
      <c r="A545" s="1" t="s">
        <v>557</v>
      </c>
      <c r="B545" s="2">
        <v>45360</v>
      </c>
      <c r="C545" s="3" t="s">
        <v>1757</v>
      </c>
      <c r="D545" s="1" t="s">
        <v>2409</v>
      </c>
      <c r="E545" s="5">
        <v>5</v>
      </c>
      <c r="F545" s="4">
        <v>269.86</v>
      </c>
      <c r="G545" s="1" t="s">
        <v>2569</v>
      </c>
      <c r="H545" s="1" t="s">
        <v>3069</v>
      </c>
      <c r="I545" s="1" t="s">
        <v>3070</v>
      </c>
      <c r="J545" s="1" t="s">
        <v>3618</v>
      </c>
      <c r="K545" s="1">
        <v>6</v>
      </c>
      <c r="L545" s="1" t="s">
        <v>4277</v>
      </c>
      <c r="M545" s="1" t="s">
        <v>4281</v>
      </c>
      <c r="N545" s="1">
        <v>1349.3</v>
      </c>
      <c r="O545" s="1">
        <f>(ordersTable[[#This Row],[Quantity]]*ordersTable[[#This Row],[UnitPrice]])-ordersTable[[#This Row],[TotalPrice]]</f>
        <v>0</v>
      </c>
    </row>
    <row r="546" spans="1:15" x14ac:dyDescent="0.3">
      <c r="A546" s="1" t="s">
        <v>558</v>
      </c>
      <c r="B546" s="2">
        <v>45361</v>
      </c>
      <c r="C546" s="3" t="s">
        <v>1758</v>
      </c>
      <c r="D546" s="1" t="s">
        <v>2407</v>
      </c>
      <c r="E546" s="5">
        <v>5</v>
      </c>
      <c r="F546" s="4">
        <v>31.96</v>
      </c>
      <c r="G546" s="1" t="s">
        <v>2726</v>
      </c>
      <c r="H546" s="1" t="s">
        <v>3067</v>
      </c>
      <c r="I546" s="1" t="s">
        <v>3072</v>
      </c>
      <c r="J546" s="1" t="s">
        <v>3619</v>
      </c>
      <c r="K546" s="1">
        <v>5</v>
      </c>
      <c r="L546" s="1" t="s">
        <v>4276</v>
      </c>
      <c r="M546" s="1" t="s">
        <v>4279</v>
      </c>
      <c r="N546" s="1">
        <v>159.80000000000001</v>
      </c>
      <c r="O546" s="1">
        <f>(ordersTable[[#This Row],[Quantity]]*ordersTable[[#This Row],[UnitPrice]])-ordersTable[[#This Row],[TotalPrice]]</f>
        <v>0</v>
      </c>
    </row>
    <row r="547" spans="1:15" x14ac:dyDescent="0.3">
      <c r="A547" s="1" t="s">
        <v>559</v>
      </c>
      <c r="B547" s="2">
        <v>45279</v>
      </c>
      <c r="C547" s="3" t="s">
        <v>1759</v>
      </c>
      <c r="D547" s="1" t="s">
        <v>2403</v>
      </c>
      <c r="E547" s="5">
        <v>2</v>
      </c>
      <c r="F547" s="4">
        <v>98.47</v>
      </c>
      <c r="G547" s="1" t="s">
        <v>2813</v>
      </c>
      <c r="H547" s="1" t="s">
        <v>3069</v>
      </c>
      <c r="I547" s="1" t="s">
        <v>3072</v>
      </c>
      <c r="J547" s="1" t="s">
        <v>3620</v>
      </c>
      <c r="K547" s="1">
        <v>3</v>
      </c>
      <c r="M547" s="1" t="s">
        <v>4278</v>
      </c>
      <c r="N547" s="1">
        <v>196.94</v>
      </c>
      <c r="O547" s="1">
        <f>(ordersTable[[#This Row],[Quantity]]*ordersTable[[#This Row],[UnitPrice]])-ordersTable[[#This Row],[TotalPrice]]</f>
        <v>0</v>
      </c>
    </row>
    <row r="548" spans="1:15" x14ac:dyDescent="0.3">
      <c r="A548" s="1" t="s">
        <v>560</v>
      </c>
      <c r="B548" s="2">
        <v>45352</v>
      </c>
      <c r="C548" s="3" t="s">
        <v>1760</v>
      </c>
      <c r="D548" s="1" t="s">
        <v>2403</v>
      </c>
      <c r="E548" s="5">
        <v>1</v>
      </c>
      <c r="F548" s="4">
        <v>158.68</v>
      </c>
      <c r="G548" s="1" t="s">
        <v>2410</v>
      </c>
      <c r="H548" s="1" t="s">
        <v>3067</v>
      </c>
      <c r="I548" s="1" t="s">
        <v>3072</v>
      </c>
      <c r="J548" s="1" t="s">
        <v>3621</v>
      </c>
      <c r="K548" s="1">
        <v>6</v>
      </c>
      <c r="L548" s="1" t="s">
        <v>4277</v>
      </c>
      <c r="M548" s="1" t="s">
        <v>4278</v>
      </c>
      <c r="N548" s="1">
        <v>158.68</v>
      </c>
      <c r="O548" s="1">
        <f>(ordersTable[[#This Row],[Quantity]]*ordersTable[[#This Row],[UnitPrice]])-ordersTable[[#This Row],[TotalPrice]]</f>
        <v>0</v>
      </c>
    </row>
    <row r="549" spans="1:15" x14ac:dyDescent="0.3">
      <c r="A549" s="1" t="s">
        <v>561</v>
      </c>
      <c r="B549" s="2">
        <v>45158</v>
      </c>
      <c r="C549" s="3" t="s">
        <v>1761</v>
      </c>
      <c r="D549" s="1" t="s">
        <v>2404</v>
      </c>
      <c r="E549" s="5">
        <v>1</v>
      </c>
      <c r="F549" s="4">
        <v>613.98</v>
      </c>
      <c r="G549" s="1" t="s">
        <v>2814</v>
      </c>
      <c r="H549" s="1" t="s">
        <v>3066</v>
      </c>
      <c r="I549" s="1" t="s">
        <v>3073</v>
      </c>
      <c r="J549" s="1" t="s">
        <v>3622</v>
      </c>
      <c r="K549" s="1">
        <v>4</v>
      </c>
      <c r="L549" s="1" t="s">
        <v>4276</v>
      </c>
      <c r="M549" s="1" t="s">
        <v>4281</v>
      </c>
      <c r="N549" s="1">
        <v>613.98</v>
      </c>
      <c r="O549" s="1">
        <f>(ordersTable[[#This Row],[Quantity]]*ordersTable[[#This Row],[UnitPrice]])-ordersTable[[#This Row],[TotalPrice]]</f>
        <v>0</v>
      </c>
    </row>
    <row r="550" spans="1:15" x14ac:dyDescent="0.3">
      <c r="A550" s="1" t="s">
        <v>562</v>
      </c>
      <c r="B550" s="2">
        <v>45296</v>
      </c>
      <c r="C550" s="3" t="s">
        <v>1762</v>
      </c>
      <c r="D550" s="1" t="s">
        <v>2407</v>
      </c>
      <c r="E550" s="5">
        <v>3</v>
      </c>
      <c r="F550" s="4">
        <v>426.12</v>
      </c>
      <c r="G550" s="1" t="s">
        <v>2500</v>
      </c>
      <c r="H550" s="1" t="s">
        <v>3066</v>
      </c>
      <c r="I550" s="1" t="s">
        <v>3073</v>
      </c>
      <c r="J550" s="1" t="s">
        <v>3623</v>
      </c>
      <c r="K550" s="1">
        <v>5</v>
      </c>
      <c r="L550" s="1" t="s">
        <v>4277</v>
      </c>
      <c r="M550" s="1" t="s">
        <v>4278</v>
      </c>
      <c r="N550" s="1">
        <v>1278.3599999999999</v>
      </c>
      <c r="O550" s="1">
        <f>(ordersTable[[#This Row],[Quantity]]*ordersTable[[#This Row],[UnitPrice]])-ordersTable[[#This Row],[TotalPrice]]</f>
        <v>0</v>
      </c>
    </row>
    <row r="551" spans="1:15" x14ac:dyDescent="0.3">
      <c r="A551" s="1" t="s">
        <v>563</v>
      </c>
      <c r="B551" s="2">
        <v>45713</v>
      </c>
      <c r="C551" s="3" t="s">
        <v>1763</v>
      </c>
      <c r="D551" s="1" t="s">
        <v>2403</v>
      </c>
      <c r="E551" s="5">
        <v>4</v>
      </c>
      <c r="F551" s="4">
        <v>629.88</v>
      </c>
      <c r="G551" s="1" t="s">
        <v>2815</v>
      </c>
      <c r="H551" s="1" t="s">
        <v>3065</v>
      </c>
      <c r="I551" s="1" t="s">
        <v>3071</v>
      </c>
      <c r="J551" s="1" t="s">
        <v>3624</v>
      </c>
      <c r="K551" s="1">
        <v>8</v>
      </c>
      <c r="L551" s="1" t="s">
        <v>4277</v>
      </c>
      <c r="M551" s="1" t="s">
        <v>4278</v>
      </c>
      <c r="N551" s="1">
        <v>2519.52</v>
      </c>
      <c r="O551" s="1">
        <f>(ordersTable[[#This Row],[Quantity]]*ordersTable[[#This Row],[UnitPrice]])-ordersTable[[#This Row],[TotalPrice]]</f>
        <v>0</v>
      </c>
    </row>
    <row r="552" spans="1:15" x14ac:dyDescent="0.3">
      <c r="A552" s="1" t="s">
        <v>564</v>
      </c>
      <c r="B552" s="2">
        <v>45228</v>
      </c>
      <c r="C552" s="3" t="s">
        <v>1764</v>
      </c>
      <c r="D552" s="1" t="s">
        <v>2408</v>
      </c>
      <c r="E552" s="5">
        <v>4</v>
      </c>
      <c r="F552" s="4">
        <v>228.91</v>
      </c>
      <c r="G552" s="1" t="s">
        <v>2542</v>
      </c>
      <c r="H552" s="1" t="s">
        <v>3069</v>
      </c>
      <c r="I552" s="1" t="s">
        <v>3070</v>
      </c>
      <c r="J552" s="1" t="s">
        <v>3625</v>
      </c>
      <c r="K552" s="1">
        <v>4</v>
      </c>
      <c r="L552" s="1" t="s">
        <v>4276</v>
      </c>
      <c r="M552" s="1" t="s">
        <v>4282</v>
      </c>
      <c r="N552" s="1">
        <v>915.64</v>
      </c>
      <c r="O552" s="1">
        <f>(ordersTable[[#This Row],[Quantity]]*ordersTable[[#This Row],[UnitPrice]])-ordersTable[[#This Row],[TotalPrice]]</f>
        <v>0</v>
      </c>
    </row>
    <row r="553" spans="1:15" x14ac:dyDescent="0.3">
      <c r="A553" s="1" t="s">
        <v>565</v>
      </c>
      <c r="B553" s="2">
        <v>45064</v>
      </c>
      <c r="C553" s="3" t="s">
        <v>1765</v>
      </c>
      <c r="D553" s="1" t="s">
        <v>2408</v>
      </c>
      <c r="E553" s="5">
        <v>1</v>
      </c>
      <c r="F553" s="4">
        <v>120.98</v>
      </c>
      <c r="G553" s="1" t="s">
        <v>2528</v>
      </c>
      <c r="H553" s="1" t="s">
        <v>3065</v>
      </c>
      <c r="I553" s="1" t="s">
        <v>3073</v>
      </c>
      <c r="J553" s="1" t="s">
        <v>3626</v>
      </c>
      <c r="K553" s="1">
        <v>6</v>
      </c>
      <c r="L553" s="1" t="s">
        <v>4277</v>
      </c>
      <c r="M553" s="1" t="s">
        <v>4280</v>
      </c>
      <c r="N553" s="1">
        <v>120.98</v>
      </c>
      <c r="O553" s="1">
        <f>(ordersTable[[#This Row],[Quantity]]*ordersTable[[#This Row],[UnitPrice]])-ordersTable[[#This Row],[TotalPrice]]</f>
        <v>0</v>
      </c>
    </row>
    <row r="554" spans="1:15" x14ac:dyDescent="0.3">
      <c r="A554" s="1" t="s">
        <v>566</v>
      </c>
      <c r="B554" s="2">
        <v>45199</v>
      </c>
      <c r="C554" s="3" t="s">
        <v>1766</v>
      </c>
      <c r="D554" s="1" t="s">
        <v>2406</v>
      </c>
      <c r="E554" s="5">
        <v>4</v>
      </c>
      <c r="F554" s="4">
        <v>425.18</v>
      </c>
      <c r="G554" s="1" t="s">
        <v>2798</v>
      </c>
      <c r="H554" s="1" t="s">
        <v>3066</v>
      </c>
      <c r="I554" s="1" t="s">
        <v>3072</v>
      </c>
      <c r="J554" s="1" t="s">
        <v>3627</v>
      </c>
      <c r="K554" s="1">
        <v>8</v>
      </c>
      <c r="L554" s="1" t="s">
        <v>4277</v>
      </c>
      <c r="M554" s="1" t="s">
        <v>4281</v>
      </c>
      <c r="N554" s="1">
        <v>1700.72</v>
      </c>
      <c r="O554" s="1">
        <f>(ordersTable[[#This Row],[Quantity]]*ordersTable[[#This Row],[UnitPrice]])-ordersTable[[#This Row],[TotalPrice]]</f>
        <v>0</v>
      </c>
    </row>
    <row r="555" spans="1:15" x14ac:dyDescent="0.3">
      <c r="A555" s="1" t="s">
        <v>567</v>
      </c>
      <c r="B555" s="2">
        <v>45161</v>
      </c>
      <c r="C555" s="3" t="s">
        <v>1767</v>
      </c>
      <c r="D555" s="1" t="s">
        <v>2404</v>
      </c>
      <c r="E555" s="5">
        <v>2</v>
      </c>
      <c r="F555" s="4">
        <v>333.83</v>
      </c>
      <c r="G555" s="1" t="s">
        <v>2816</v>
      </c>
      <c r="H555" s="1" t="s">
        <v>3068</v>
      </c>
      <c r="I555" s="1" t="s">
        <v>3071</v>
      </c>
      <c r="J555" s="1" t="s">
        <v>3628</v>
      </c>
      <c r="K555" s="1">
        <v>4</v>
      </c>
      <c r="L555" s="1" t="s">
        <v>4276</v>
      </c>
      <c r="M555" s="1" t="s">
        <v>4279</v>
      </c>
      <c r="N555" s="1">
        <v>667.66</v>
      </c>
      <c r="O555" s="1">
        <f>(ordersTable[[#This Row],[Quantity]]*ordersTable[[#This Row],[UnitPrice]])-ordersTable[[#This Row],[TotalPrice]]</f>
        <v>0</v>
      </c>
    </row>
    <row r="556" spans="1:15" x14ac:dyDescent="0.3">
      <c r="A556" s="1" t="s">
        <v>568</v>
      </c>
      <c r="B556" s="2">
        <v>45807</v>
      </c>
      <c r="C556" s="3" t="s">
        <v>1768</v>
      </c>
      <c r="D556" s="1" t="s">
        <v>2408</v>
      </c>
      <c r="E556" s="5">
        <v>2</v>
      </c>
      <c r="F556" s="4">
        <v>492.9</v>
      </c>
      <c r="G556" s="1" t="s">
        <v>2610</v>
      </c>
      <c r="H556" s="1" t="s">
        <v>3069</v>
      </c>
      <c r="I556" s="1" t="s">
        <v>3072</v>
      </c>
      <c r="J556" s="1" t="s">
        <v>3629</v>
      </c>
      <c r="K556" s="1">
        <v>5</v>
      </c>
      <c r="L556" s="1" t="s">
        <v>4276</v>
      </c>
      <c r="M556" s="1" t="s">
        <v>4278</v>
      </c>
      <c r="N556" s="1">
        <v>985.8</v>
      </c>
      <c r="O556" s="1">
        <f>(ordersTable[[#This Row],[Quantity]]*ordersTable[[#This Row],[UnitPrice]])-ordersTable[[#This Row],[TotalPrice]]</f>
        <v>0</v>
      </c>
    </row>
    <row r="557" spans="1:15" x14ac:dyDescent="0.3">
      <c r="A557" s="1" t="s">
        <v>569</v>
      </c>
      <c r="B557" s="2">
        <v>44933</v>
      </c>
      <c r="C557" s="3" t="s">
        <v>1769</v>
      </c>
      <c r="D557" s="1" t="s">
        <v>2405</v>
      </c>
      <c r="E557" s="5">
        <v>1</v>
      </c>
      <c r="F557" s="4">
        <v>92.04</v>
      </c>
      <c r="G557" s="1" t="s">
        <v>2420</v>
      </c>
      <c r="H557" s="1" t="s">
        <v>3069</v>
      </c>
      <c r="I557" s="1" t="s">
        <v>3070</v>
      </c>
      <c r="J557" s="1" t="s">
        <v>3630</v>
      </c>
      <c r="K557" s="1">
        <v>2</v>
      </c>
      <c r="M557" s="1" t="s">
        <v>4281</v>
      </c>
      <c r="N557" s="1">
        <v>92.04</v>
      </c>
      <c r="O557" s="1">
        <f>(ordersTable[[#This Row],[Quantity]]*ordersTable[[#This Row],[UnitPrice]])-ordersTable[[#This Row],[TotalPrice]]</f>
        <v>0</v>
      </c>
    </row>
    <row r="558" spans="1:15" x14ac:dyDescent="0.3">
      <c r="A558" s="1" t="s">
        <v>570</v>
      </c>
      <c r="B558" s="2">
        <v>44954</v>
      </c>
      <c r="C558" s="3" t="s">
        <v>1770</v>
      </c>
      <c r="D558" s="1" t="s">
        <v>2408</v>
      </c>
      <c r="E558" s="5">
        <v>1</v>
      </c>
      <c r="F558" s="4">
        <v>654.27</v>
      </c>
      <c r="G558" s="1" t="s">
        <v>2817</v>
      </c>
      <c r="H558" s="1" t="s">
        <v>3068</v>
      </c>
      <c r="I558" s="1" t="s">
        <v>3074</v>
      </c>
      <c r="J558" s="1" t="s">
        <v>3631</v>
      </c>
      <c r="K558" s="1">
        <v>2</v>
      </c>
      <c r="L558" s="1" t="s">
        <v>4275</v>
      </c>
      <c r="M558" s="1" t="s">
        <v>4281</v>
      </c>
      <c r="N558" s="1">
        <v>654.27</v>
      </c>
      <c r="O558" s="1">
        <f>(ordersTable[[#This Row],[Quantity]]*ordersTable[[#This Row],[UnitPrice]])-ordersTable[[#This Row],[TotalPrice]]</f>
        <v>0</v>
      </c>
    </row>
    <row r="559" spans="1:15" x14ac:dyDescent="0.3">
      <c r="A559" s="1" t="s">
        <v>571</v>
      </c>
      <c r="B559" s="2">
        <v>45106</v>
      </c>
      <c r="C559" s="3" t="s">
        <v>1771</v>
      </c>
      <c r="D559" s="1" t="s">
        <v>2405</v>
      </c>
      <c r="E559" s="5">
        <v>1</v>
      </c>
      <c r="F559" s="4">
        <v>56.2</v>
      </c>
      <c r="G559" s="1" t="s">
        <v>2818</v>
      </c>
      <c r="H559" s="1" t="s">
        <v>3065</v>
      </c>
      <c r="I559" s="1" t="s">
        <v>3074</v>
      </c>
      <c r="J559" s="1" t="s">
        <v>3632</v>
      </c>
      <c r="K559" s="1">
        <v>1</v>
      </c>
      <c r="L559" s="1" t="s">
        <v>4277</v>
      </c>
      <c r="M559" s="1" t="s">
        <v>4281</v>
      </c>
      <c r="N559" s="1">
        <v>56.2</v>
      </c>
      <c r="O559" s="1">
        <f>(ordersTable[[#This Row],[Quantity]]*ordersTable[[#This Row],[UnitPrice]])-ordersTable[[#This Row],[TotalPrice]]</f>
        <v>0</v>
      </c>
    </row>
    <row r="560" spans="1:15" x14ac:dyDescent="0.3">
      <c r="A560" s="1" t="s">
        <v>572</v>
      </c>
      <c r="B560" s="2">
        <v>45489</v>
      </c>
      <c r="C560" s="3" t="s">
        <v>1772</v>
      </c>
      <c r="D560" s="1" t="s">
        <v>2404</v>
      </c>
      <c r="E560" s="5">
        <v>4</v>
      </c>
      <c r="F560" s="4">
        <v>628.12</v>
      </c>
      <c r="G560" s="1" t="s">
        <v>2819</v>
      </c>
      <c r="H560" s="1" t="s">
        <v>3066</v>
      </c>
      <c r="I560" s="1" t="s">
        <v>3073</v>
      </c>
      <c r="J560" s="1" t="s">
        <v>3633</v>
      </c>
      <c r="K560" s="1">
        <v>6</v>
      </c>
      <c r="L560" s="1" t="s">
        <v>4277</v>
      </c>
      <c r="M560" s="1" t="s">
        <v>4278</v>
      </c>
      <c r="N560" s="1">
        <v>2512.48</v>
      </c>
      <c r="O560" s="1">
        <f>(ordersTable[[#This Row],[Quantity]]*ordersTable[[#This Row],[UnitPrice]])-ordersTable[[#This Row],[TotalPrice]]</f>
        <v>0</v>
      </c>
    </row>
    <row r="561" spans="1:15" x14ac:dyDescent="0.3">
      <c r="A561" s="1" t="s">
        <v>573</v>
      </c>
      <c r="B561" s="2">
        <v>45397</v>
      </c>
      <c r="C561" s="3" t="s">
        <v>1773</v>
      </c>
      <c r="D561" s="1" t="s">
        <v>2409</v>
      </c>
      <c r="E561" s="5">
        <v>3</v>
      </c>
      <c r="F561" s="4">
        <v>157.4</v>
      </c>
      <c r="G561" s="1" t="s">
        <v>2790</v>
      </c>
      <c r="H561" s="1" t="s">
        <v>3065</v>
      </c>
      <c r="I561" s="1" t="s">
        <v>3071</v>
      </c>
      <c r="J561" s="1" t="s">
        <v>3634</v>
      </c>
      <c r="K561" s="1">
        <v>7</v>
      </c>
      <c r="L561" s="1" t="s">
        <v>4277</v>
      </c>
      <c r="M561" s="1" t="s">
        <v>4280</v>
      </c>
      <c r="N561" s="1">
        <v>472.2</v>
      </c>
      <c r="O561" s="1">
        <f>(ordersTable[[#This Row],[Quantity]]*ordersTable[[#This Row],[UnitPrice]])-ordersTable[[#This Row],[TotalPrice]]</f>
        <v>0</v>
      </c>
    </row>
    <row r="562" spans="1:15" x14ac:dyDescent="0.3">
      <c r="A562" s="1" t="s">
        <v>574</v>
      </c>
      <c r="B562" s="2">
        <v>44957</v>
      </c>
      <c r="C562" s="3" t="s">
        <v>1774</v>
      </c>
      <c r="D562" s="1" t="s">
        <v>2403</v>
      </c>
      <c r="E562" s="5">
        <v>4</v>
      </c>
      <c r="F562" s="4">
        <v>588.85</v>
      </c>
      <c r="G562" s="1" t="s">
        <v>2820</v>
      </c>
      <c r="H562" s="1" t="s">
        <v>3068</v>
      </c>
      <c r="I562" s="1" t="s">
        <v>3074</v>
      </c>
      <c r="J562" s="1" t="s">
        <v>3635</v>
      </c>
      <c r="K562" s="1">
        <v>7</v>
      </c>
      <c r="M562" s="1" t="s">
        <v>4280</v>
      </c>
      <c r="N562" s="1">
        <v>2355.4</v>
      </c>
      <c r="O562" s="1">
        <f>(ordersTable[[#This Row],[Quantity]]*ordersTable[[#This Row],[UnitPrice]])-ordersTable[[#This Row],[TotalPrice]]</f>
        <v>0</v>
      </c>
    </row>
    <row r="563" spans="1:15" x14ac:dyDescent="0.3">
      <c r="A563" s="1" t="s">
        <v>575</v>
      </c>
      <c r="B563" s="2">
        <v>44957</v>
      </c>
      <c r="C563" s="3" t="s">
        <v>1775</v>
      </c>
      <c r="D563" s="1" t="s">
        <v>2407</v>
      </c>
      <c r="E563" s="5">
        <v>2</v>
      </c>
      <c r="F563" s="4">
        <v>494.78</v>
      </c>
      <c r="G563" s="1" t="s">
        <v>2821</v>
      </c>
      <c r="H563" s="1" t="s">
        <v>3066</v>
      </c>
      <c r="I563" s="1" t="s">
        <v>3070</v>
      </c>
      <c r="J563" s="1" t="s">
        <v>3636</v>
      </c>
      <c r="K563" s="1">
        <v>2</v>
      </c>
      <c r="M563" s="1" t="s">
        <v>4282</v>
      </c>
      <c r="N563" s="1">
        <v>989.56</v>
      </c>
      <c r="O563" s="1">
        <f>(ordersTable[[#This Row],[Quantity]]*ordersTable[[#This Row],[UnitPrice]])-ordersTable[[#This Row],[TotalPrice]]</f>
        <v>0</v>
      </c>
    </row>
    <row r="564" spans="1:15" x14ac:dyDescent="0.3">
      <c r="A564" s="1" t="s">
        <v>576</v>
      </c>
      <c r="B564" s="2">
        <v>45205</v>
      </c>
      <c r="C564" s="3" t="s">
        <v>1776</v>
      </c>
      <c r="D564" s="1" t="s">
        <v>2408</v>
      </c>
      <c r="E564" s="5">
        <v>3</v>
      </c>
      <c r="F564" s="4">
        <v>663.93</v>
      </c>
      <c r="G564" s="1" t="s">
        <v>2500</v>
      </c>
      <c r="H564" s="1" t="s">
        <v>3068</v>
      </c>
      <c r="I564" s="1" t="s">
        <v>3072</v>
      </c>
      <c r="J564" s="1" t="s">
        <v>3637</v>
      </c>
      <c r="K564" s="1">
        <v>6</v>
      </c>
      <c r="L564" s="1" t="s">
        <v>4276</v>
      </c>
      <c r="M564" s="1" t="s">
        <v>4280</v>
      </c>
      <c r="N564" s="1">
        <v>1991.79</v>
      </c>
      <c r="O564" s="1">
        <f>(ordersTable[[#This Row],[Quantity]]*ordersTable[[#This Row],[UnitPrice]])-ordersTable[[#This Row],[TotalPrice]]</f>
        <v>0</v>
      </c>
    </row>
    <row r="565" spans="1:15" x14ac:dyDescent="0.3">
      <c r="A565" s="1" t="s">
        <v>577</v>
      </c>
      <c r="B565" s="2">
        <v>45272</v>
      </c>
      <c r="C565" s="3" t="s">
        <v>1777</v>
      </c>
      <c r="D565" s="1" t="s">
        <v>2408</v>
      </c>
      <c r="E565" s="5">
        <v>1</v>
      </c>
      <c r="F565" s="4">
        <v>132.68</v>
      </c>
      <c r="G565" s="1" t="s">
        <v>2822</v>
      </c>
      <c r="H565" s="1" t="s">
        <v>3065</v>
      </c>
      <c r="I565" s="1" t="s">
        <v>3072</v>
      </c>
      <c r="J565" s="1" t="s">
        <v>3638</v>
      </c>
      <c r="K565" s="1">
        <v>1</v>
      </c>
      <c r="L565" s="1" t="s">
        <v>4275</v>
      </c>
      <c r="M565" s="1" t="s">
        <v>4279</v>
      </c>
      <c r="N565" s="1">
        <v>132.68</v>
      </c>
      <c r="O565" s="1">
        <f>(ordersTable[[#This Row],[Quantity]]*ordersTable[[#This Row],[UnitPrice]])-ordersTable[[#This Row],[TotalPrice]]</f>
        <v>0</v>
      </c>
    </row>
    <row r="566" spans="1:15" x14ac:dyDescent="0.3">
      <c r="A566" s="1" t="s">
        <v>578</v>
      </c>
      <c r="B566" s="2">
        <v>45755</v>
      </c>
      <c r="C566" s="3" t="s">
        <v>1778</v>
      </c>
      <c r="D566" s="1" t="s">
        <v>2409</v>
      </c>
      <c r="E566" s="5">
        <v>5</v>
      </c>
      <c r="F566" s="4">
        <v>364.28</v>
      </c>
      <c r="G566" s="1" t="s">
        <v>2823</v>
      </c>
      <c r="H566" s="1" t="s">
        <v>3067</v>
      </c>
      <c r="I566" s="1" t="s">
        <v>3071</v>
      </c>
      <c r="J566" s="1" t="s">
        <v>3639</v>
      </c>
      <c r="K566" s="1">
        <v>5</v>
      </c>
      <c r="L566" s="1" t="s">
        <v>4277</v>
      </c>
      <c r="M566" s="1" t="s">
        <v>4282</v>
      </c>
      <c r="N566" s="1">
        <v>1821.4</v>
      </c>
      <c r="O566" s="1">
        <f>(ordersTable[[#This Row],[Quantity]]*ordersTable[[#This Row],[UnitPrice]])-ordersTable[[#This Row],[TotalPrice]]</f>
        <v>0</v>
      </c>
    </row>
    <row r="567" spans="1:15" x14ac:dyDescent="0.3">
      <c r="A567" s="1" t="s">
        <v>579</v>
      </c>
      <c r="B567" s="2">
        <v>45060</v>
      </c>
      <c r="C567" s="3" t="s">
        <v>1779</v>
      </c>
      <c r="D567" s="1" t="s">
        <v>2405</v>
      </c>
      <c r="E567" s="5">
        <v>5</v>
      </c>
      <c r="F567" s="4">
        <v>307.98</v>
      </c>
      <c r="G567" s="1" t="s">
        <v>2770</v>
      </c>
      <c r="H567" s="1" t="s">
        <v>3066</v>
      </c>
      <c r="I567" s="1" t="s">
        <v>3074</v>
      </c>
      <c r="J567" s="1" t="s">
        <v>3640</v>
      </c>
      <c r="K567" s="1">
        <v>10</v>
      </c>
      <c r="M567" s="1" t="s">
        <v>4281</v>
      </c>
      <c r="N567" s="1">
        <v>1539.9</v>
      </c>
      <c r="O567" s="1">
        <f>(ordersTable[[#This Row],[Quantity]]*ordersTable[[#This Row],[UnitPrice]])-ordersTable[[#This Row],[TotalPrice]]</f>
        <v>0</v>
      </c>
    </row>
    <row r="568" spans="1:15" x14ac:dyDescent="0.3">
      <c r="A568" s="1" t="s">
        <v>580</v>
      </c>
      <c r="B568" s="2">
        <v>45400</v>
      </c>
      <c r="C568" s="3" t="s">
        <v>1780</v>
      </c>
      <c r="D568" s="1" t="s">
        <v>2404</v>
      </c>
      <c r="E568" s="5">
        <v>4</v>
      </c>
      <c r="F568" s="4">
        <v>162.71</v>
      </c>
      <c r="G568" s="1" t="s">
        <v>2824</v>
      </c>
      <c r="H568" s="1" t="s">
        <v>3069</v>
      </c>
      <c r="I568" s="1" t="s">
        <v>3071</v>
      </c>
      <c r="J568" s="1" t="s">
        <v>3641</v>
      </c>
      <c r="K568" s="1">
        <v>7</v>
      </c>
      <c r="L568" s="1" t="s">
        <v>4276</v>
      </c>
      <c r="M568" s="1" t="s">
        <v>4280</v>
      </c>
      <c r="N568" s="1">
        <v>650.84</v>
      </c>
      <c r="O568" s="1">
        <f>(ordersTable[[#This Row],[Quantity]]*ordersTable[[#This Row],[UnitPrice]])-ordersTable[[#This Row],[TotalPrice]]</f>
        <v>0</v>
      </c>
    </row>
    <row r="569" spans="1:15" x14ac:dyDescent="0.3">
      <c r="A569" s="1" t="s">
        <v>581</v>
      </c>
      <c r="B569" s="2">
        <v>45565</v>
      </c>
      <c r="C569" s="3" t="s">
        <v>1781</v>
      </c>
      <c r="D569" s="1" t="s">
        <v>2406</v>
      </c>
      <c r="E569" s="5">
        <v>5</v>
      </c>
      <c r="F569" s="4">
        <v>492.94</v>
      </c>
      <c r="G569" s="1" t="s">
        <v>2632</v>
      </c>
      <c r="H569" s="1" t="s">
        <v>3069</v>
      </c>
      <c r="I569" s="1" t="s">
        <v>3070</v>
      </c>
      <c r="J569" s="1" t="s">
        <v>3642</v>
      </c>
      <c r="K569" s="1">
        <v>10</v>
      </c>
      <c r="L569" s="1" t="s">
        <v>4276</v>
      </c>
      <c r="M569" s="1" t="s">
        <v>4280</v>
      </c>
      <c r="N569" s="1">
        <v>2464.6999999999998</v>
      </c>
      <c r="O569" s="1">
        <f>(ordersTable[[#This Row],[Quantity]]*ordersTable[[#This Row],[UnitPrice]])-ordersTable[[#This Row],[TotalPrice]]</f>
        <v>0</v>
      </c>
    </row>
    <row r="570" spans="1:15" x14ac:dyDescent="0.3">
      <c r="A570" s="1" t="s">
        <v>582</v>
      </c>
      <c r="B570" s="2">
        <v>44995</v>
      </c>
      <c r="C570" s="3" t="s">
        <v>1782</v>
      </c>
      <c r="D570" s="1" t="s">
        <v>2408</v>
      </c>
      <c r="E570" s="5">
        <v>2</v>
      </c>
      <c r="F570" s="4">
        <v>343.99</v>
      </c>
      <c r="G570" s="1" t="s">
        <v>2714</v>
      </c>
      <c r="H570" s="1" t="s">
        <v>3066</v>
      </c>
      <c r="I570" s="1" t="s">
        <v>3073</v>
      </c>
      <c r="J570" s="1" t="s">
        <v>3643</v>
      </c>
      <c r="K570" s="1">
        <v>4</v>
      </c>
      <c r="M570" s="1" t="s">
        <v>4282</v>
      </c>
      <c r="N570" s="1">
        <v>687.98</v>
      </c>
      <c r="O570" s="1">
        <f>(ordersTable[[#This Row],[Quantity]]*ordersTable[[#This Row],[UnitPrice]])-ordersTable[[#This Row],[TotalPrice]]</f>
        <v>0</v>
      </c>
    </row>
    <row r="571" spans="1:15" x14ac:dyDescent="0.3">
      <c r="A571" s="1" t="s">
        <v>583</v>
      </c>
      <c r="B571" s="2">
        <v>45738</v>
      </c>
      <c r="C571" s="3" t="s">
        <v>1783</v>
      </c>
      <c r="D571" s="1" t="s">
        <v>2409</v>
      </c>
      <c r="E571" s="5">
        <v>5</v>
      </c>
      <c r="F571" s="4">
        <v>250.68</v>
      </c>
      <c r="G571" s="1" t="s">
        <v>2774</v>
      </c>
      <c r="H571" s="1" t="s">
        <v>3069</v>
      </c>
      <c r="I571" s="1" t="s">
        <v>3070</v>
      </c>
      <c r="J571" s="1" t="s">
        <v>3644</v>
      </c>
      <c r="K571" s="1">
        <v>8</v>
      </c>
      <c r="L571" s="1" t="s">
        <v>4275</v>
      </c>
      <c r="M571" s="1" t="s">
        <v>4278</v>
      </c>
      <c r="N571" s="1">
        <v>1253.4000000000001</v>
      </c>
      <c r="O571" s="1">
        <f>(ordersTable[[#This Row],[Quantity]]*ordersTable[[#This Row],[UnitPrice]])-ordersTable[[#This Row],[TotalPrice]]</f>
        <v>0</v>
      </c>
    </row>
    <row r="572" spans="1:15" x14ac:dyDescent="0.3">
      <c r="A572" s="1" t="s">
        <v>584</v>
      </c>
      <c r="B572" s="2">
        <v>45653</v>
      </c>
      <c r="C572" s="3" t="s">
        <v>1784</v>
      </c>
      <c r="D572" s="1" t="s">
        <v>2409</v>
      </c>
      <c r="E572" s="5">
        <v>2</v>
      </c>
      <c r="F572" s="4">
        <v>362.14</v>
      </c>
      <c r="G572" s="1" t="s">
        <v>2518</v>
      </c>
      <c r="H572" s="1" t="s">
        <v>3065</v>
      </c>
      <c r="I572" s="1" t="s">
        <v>3074</v>
      </c>
      <c r="J572" s="1" t="s">
        <v>3645</v>
      </c>
      <c r="K572" s="1">
        <v>2</v>
      </c>
      <c r="L572" s="1" t="s">
        <v>4275</v>
      </c>
      <c r="M572" s="1" t="s">
        <v>4278</v>
      </c>
      <c r="N572" s="1">
        <v>724.28</v>
      </c>
      <c r="O572" s="1">
        <f>(ordersTable[[#This Row],[Quantity]]*ordersTable[[#This Row],[UnitPrice]])-ordersTable[[#This Row],[TotalPrice]]</f>
        <v>0</v>
      </c>
    </row>
    <row r="573" spans="1:15" x14ac:dyDescent="0.3">
      <c r="A573" s="1" t="s">
        <v>585</v>
      </c>
      <c r="B573" s="2">
        <v>45619</v>
      </c>
      <c r="C573" s="3" t="s">
        <v>1785</v>
      </c>
      <c r="D573" s="1" t="s">
        <v>2405</v>
      </c>
      <c r="E573" s="5">
        <v>1</v>
      </c>
      <c r="F573" s="4">
        <v>214.08</v>
      </c>
      <c r="G573" s="1" t="s">
        <v>2779</v>
      </c>
      <c r="H573" s="1" t="s">
        <v>3068</v>
      </c>
      <c r="I573" s="1" t="s">
        <v>3072</v>
      </c>
      <c r="J573" s="1" t="s">
        <v>3646</v>
      </c>
      <c r="K573" s="1">
        <v>2</v>
      </c>
      <c r="L573" s="1" t="s">
        <v>4277</v>
      </c>
      <c r="M573" s="1" t="s">
        <v>4282</v>
      </c>
      <c r="N573" s="1">
        <v>214.08</v>
      </c>
      <c r="O573" s="1">
        <f>(ordersTable[[#This Row],[Quantity]]*ordersTable[[#This Row],[UnitPrice]])-ordersTable[[#This Row],[TotalPrice]]</f>
        <v>0</v>
      </c>
    </row>
    <row r="574" spans="1:15" x14ac:dyDescent="0.3">
      <c r="A574" s="1" t="s">
        <v>586</v>
      </c>
      <c r="B574" s="2">
        <v>45241</v>
      </c>
      <c r="C574" s="3" t="s">
        <v>1786</v>
      </c>
      <c r="D574" s="1" t="s">
        <v>2407</v>
      </c>
      <c r="E574" s="5">
        <v>1</v>
      </c>
      <c r="F574" s="4">
        <v>70.319999999999993</v>
      </c>
      <c r="G574" s="1" t="s">
        <v>2722</v>
      </c>
      <c r="H574" s="1" t="s">
        <v>3069</v>
      </c>
      <c r="I574" s="1" t="s">
        <v>3072</v>
      </c>
      <c r="J574" s="1" t="s">
        <v>3647</v>
      </c>
      <c r="K574" s="1">
        <v>4</v>
      </c>
      <c r="L574" s="1" t="s">
        <v>4277</v>
      </c>
      <c r="M574" s="1" t="s">
        <v>4281</v>
      </c>
      <c r="N574" s="1">
        <v>70.319999999999993</v>
      </c>
      <c r="O574" s="1">
        <f>(ordersTable[[#This Row],[Quantity]]*ordersTable[[#This Row],[UnitPrice]])-ordersTable[[#This Row],[TotalPrice]]</f>
        <v>0</v>
      </c>
    </row>
    <row r="575" spans="1:15" x14ac:dyDescent="0.3">
      <c r="A575" s="1" t="s">
        <v>587</v>
      </c>
      <c r="B575" s="2">
        <v>44951</v>
      </c>
      <c r="C575" s="3" t="s">
        <v>1787</v>
      </c>
      <c r="D575" s="1" t="s">
        <v>2406</v>
      </c>
      <c r="E575" s="5">
        <v>5</v>
      </c>
      <c r="F575" s="4">
        <v>421.42</v>
      </c>
      <c r="G575" s="1" t="s">
        <v>2511</v>
      </c>
      <c r="H575" s="1" t="s">
        <v>3065</v>
      </c>
      <c r="I575" s="1" t="s">
        <v>3071</v>
      </c>
      <c r="J575" s="1" t="s">
        <v>3648</v>
      </c>
      <c r="K575" s="1">
        <v>7</v>
      </c>
      <c r="M575" s="1" t="s">
        <v>4278</v>
      </c>
      <c r="N575" s="1">
        <v>2107.1</v>
      </c>
      <c r="O575" s="1">
        <f>(ordersTable[[#This Row],[Quantity]]*ordersTable[[#This Row],[UnitPrice]])-ordersTable[[#This Row],[TotalPrice]]</f>
        <v>0</v>
      </c>
    </row>
    <row r="576" spans="1:15" x14ac:dyDescent="0.3">
      <c r="A576" s="1" t="s">
        <v>588</v>
      </c>
      <c r="B576" s="2">
        <v>45315</v>
      </c>
      <c r="C576" s="3" t="s">
        <v>1788</v>
      </c>
      <c r="D576" s="1" t="s">
        <v>2406</v>
      </c>
      <c r="E576" s="5">
        <v>5</v>
      </c>
      <c r="F576" s="4">
        <v>384.69</v>
      </c>
      <c r="G576" s="1" t="s">
        <v>2413</v>
      </c>
      <c r="H576" s="1" t="s">
        <v>3067</v>
      </c>
      <c r="I576" s="1" t="s">
        <v>3074</v>
      </c>
      <c r="J576" s="1" t="s">
        <v>3649</v>
      </c>
      <c r="K576" s="1">
        <v>6</v>
      </c>
      <c r="L576" s="1" t="s">
        <v>4276</v>
      </c>
      <c r="M576" s="1" t="s">
        <v>4280</v>
      </c>
      <c r="N576" s="1">
        <v>1923.45</v>
      </c>
      <c r="O576" s="1">
        <f>(ordersTable[[#This Row],[Quantity]]*ordersTable[[#This Row],[UnitPrice]])-ordersTable[[#This Row],[TotalPrice]]</f>
        <v>0</v>
      </c>
    </row>
    <row r="577" spans="1:15" x14ac:dyDescent="0.3">
      <c r="A577" s="1" t="s">
        <v>589</v>
      </c>
      <c r="B577" s="2">
        <v>45084</v>
      </c>
      <c r="C577" s="3" t="s">
        <v>1789</v>
      </c>
      <c r="D577" s="1" t="s">
        <v>2406</v>
      </c>
      <c r="E577" s="5">
        <v>5</v>
      </c>
      <c r="F577" s="4">
        <v>448.15</v>
      </c>
      <c r="G577" s="1" t="s">
        <v>2825</v>
      </c>
      <c r="H577" s="1" t="s">
        <v>3068</v>
      </c>
      <c r="I577" s="1" t="s">
        <v>3072</v>
      </c>
      <c r="J577" s="1" t="s">
        <v>3650</v>
      </c>
      <c r="K577" s="1">
        <v>7</v>
      </c>
      <c r="L577" s="1" t="s">
        <v>4275</v>
      </c>
      <c r="M577" s="1" t="s">
        <v>4282</v>
      </c>
      <c r="N577" s="1">
        <v>2240.75</v>
      </c>
      <c r="O577" s="1">
        <f>(ordersTable[[#This Row],[Quantity]]*ordersTable[[#This Row],[UnitPrice]])-ordersTable[[#This Row],[TotalPrice]]</f>
        <v>0</v>
      </c>
    </row>
    <row r="578" spans="1:15" x14ac:dyDescent="0.3">
      <c r="A578" s="1" t="s">
        <v>590</v>
      </c>
      <c r="B578" s="2">
        <v>45441</v>
      </c>
      <c r="C578" s="3" t="s">
        <v>1790</v>
      </c>
      <c r="D578" s="1" t="s">
        <v>2408</v>
      </c>
      <c r="E578" s="5">
        <v>5</v>
      </c>
      <c r="F578" s="4">
        <v>79.08</v>
      </c>
      <c r="G578" s="1" t="s">
        <v>2710</v>
      </c>
      <c r="H578" s="1" t="s">
        <v>3069</v>
      </c>
      <c r="I578" s="1" t="s">
        <v>3074</v>
      </c>
      <c r="J578" s="1" t="s">
        <v>3651</v>
      </c>
      <c r="K578" s="1">
        <v>8</v>
      </c>
      <c r="M578" s="1" t="s">
        <v>4281</v>
      </c>
      <c r="N578" s="1">
        <v>395.4</v>
      </c>
      <c r="O578" s="1">
        <f>(ordersTable[[#This Row],[Quantity]]*ordersTable[[#This Row],[UnitPrice]])-ordersTable[[#This Row],[TotalPrice]]</f>
        <v>0</v>
      </c>
    </row>
    <row r="579" spans="1:15" x14ac:dyDescent="0.3">
      <c r="A579" s="1" t="s">
        <v>591</v>
      </c>
      <c r="B579" s="2">
        <v>44948</v>
      </c>
      <c r="C579" s="3" t="s">
        <v>1791</v>
      </c>
      <c r="D579" s="1" t="s">
        <v>2405</v>
      </c>
      <c r="E579" s="5">
        <v>4</v>
      </c>
      <c r="F579" s="4">
        <v>185.41</v>
      </c>
      <c r="G579" s="1" t="s">
        <v>2488</v>
      </c>
      <c r="H579" s="1" t="s">
        <v>3066</v>
      </c>
      <c r="I579" s="1" t="s">
        <v>3072</v>
      </c>
      <c r="J579" s="1" t="s">
        <v>3652</v>
      </c>
      <c r="K579" s="1">
        <v>9</v>
      </c>
      <c r="L579" s="1" t="s">
        <v>4277</v>
      </c>
      <c r="M579" s="1" t="s">
        <v>4282</v>
      </c>
      <c r="N579" s="1">
        <v>741.64</v>
      </c>
      <c r="O579" s="1">
        <f>(ordersTable[[#This Row],[Quantity]]*ordersTable[[#This Row],[UnitPrice]])-ordersTable[[#This Row],[TotalPrice]]</f>
        <v>0</v>
      </c>
    </row>
    <row r="580" spans="1:15" x14ac:dyDescent="0.3">
      <c r="A580" s="1" t="s">
        <v>592</v>
      </c>
      <c r="B580" s="2">
        <v>45575</v>
      </c>
      <c r="C580" s="3" t="s">
        <v>1792</v>
      </c>
      <c r="D580" s="1" t="s">
        <v>2403</v>
      </c>
      <c r="E580" s="5">
        <v>5</v>
      </c>
      <c r="F580" s="4">
        <v>566.07000000000005</v>
      </c>
      <c r="G580" s="1" t="s">
        <v>2430</v>
      </c>
      <c r="H580" s="1" t="s">
        <v>3067</v>
      </c>
      <c r="I580" s="1" t="s">
        <v>3073</v>
      </c>
      <c r="J580" s="1" t="s">
        <v>3653</v>
      </c>
      <c r="K580" s="1">
        <v>6</v>
      </c>
      <c r="L580" s="1" t="s">
        <v>4275</v>
      </c>
      <c r="M580" s="1" t="s">
        <v>4278</v>
      </c>
      <c r="N580" s="1">
        <v>2830.35</v>
      </c>
      <c r="O580" s="1">
        <f>(ordersTable[[#This Row],[Quantity]]*ordersTable[[#This Row],[UnitPrice]])-ordersTable[[#This Row],[TotalPrice]]</f>
        <v>0</v>
      </c>
    </row>
    <row r="581" spans="1:15" x14ac:dyDescent="0.3">
      <c r="A581" s="1" t="s">
        <v>593</v>
      </c>
      <c r="B581" s="2">
        <v>45081</v>
      </c>
      <c r="C581" s="3" t="s">
        <v>1793</v>
      </c>
      <c r="D581" s="1" t="s">
        <v>2405</v>
      </c>
      <c r="E581" s="5">
        <v>2</v>
      </c>
      <c r="F581" s="4">
        <v>187.88</v>
      </c>
      <c r="G581" s="1" t="s">
        <v>2679</v>
      </c>
      <c r="H581" s="1" t="s">
        <v>3066</v>
      </c>
      <c r="I581" s="1" t="s">
        <v>3070</v>
      </c>
      <c r="J581" s="1" t="s">
        <v>3654</v>
      </c>
      <c r="K581" s="1">
        <v>4</v>
      </c>
      <c r="L581" s="1" t="s">
        <v>4277</v>
      </c>
      <c r="M581" s="1" t="s">
        <v>4281</v>
      </c>
      <c r="N581" s="1">
        <v>375.76</v>
      </c>
      <c r="O581" s="1">
        <f>(ordersTable[[#This Row],[Quantity]]*ordersTable[[#This Row],[UnitPrice]])-ordersTable[[#This Row],[TotalPrice]]</f>
        <v>0</v>
      </c>
    </row>
    <row r="582" spans="1:15" x14ac:dyDescent="0.3">
      <c r="A582" s="1" t="s">
        <v>594</v>
      </c>
      <c r="B582" s="2">
        <v>45244</v>
      </c>
      <c r="C582" s="3" t="s">
        <v>1794</v>
      </c>
      <c r="D582" s="1" t="s">
        <v>2403</v>
      </c>
      <c r="E582" s="5">
        <v>2</v>
      </c>
      <c r="F582" s="4">
        <v>255.99</v>
      </c>
      <c r="G582" s="1" t="s">
        <v>2826</v>
      </c>
      <c r="H582" s="1" t="s">
        <v>3067</v>
      </c>
      <c r="I582" s="1" t="s">
        <v>3073</v>
      </c>
      <c r="J582" s="1" t="s">
        <v>3655</v>
      </c>
      <c r="K582" s="1">
        <v>4</v>
      </c>
      <c r="L582" s="1" t="s">
        <v>4275</v>
      </c>
      <c r="M582" s="1" t="s">
        <v>4278</v>
      </c>
      <c r="N582" s="1">
        <v>511.98</v>
      </c>
      <c r="O582" s="1">
        <f>(ordersTable[[#This Row],[Quantity]]*ordersTable[[#This Row],[UnitPrice]])-ordersTable[[#This Row],[TotalPrice]]</f>
        <v>0</v>
      </c>
    </row>
    <row r="583" spans="1:15" x14ac:dyDescent="0.3">
      <c r="A583" s="1" t="s">
        <v>595</v>
      </c>
      <c r="B583" s="2">
        <v>45607</v>
      </c>
      <c r="C583" s="3" t="s">
        <v>1795</v>
      </c>
      <c r="D583" s="1" t="s">
        <v>2408</v>
      </c>
      <c r="E583" s="5">
        <v>1</v>
      </c>
      <c r="F583" s="4">
        <v>627.34</v>
      </c>
      <c r="G583" s="1" t="s">
        <v>2425</v>
      </c>
      <c r="H583" s="1" t="s">
        <v>3066</v>
      </c>
      <c r="I583" s="1" t="s">
        <v>3073</v>
      </c>
      <c r="J583" s="1" t="s">
        <v>3656</v>
      </c>
      <c r="K583" s="1">
        <v>1</v>
      </c>
      <c r="M583" s="1" t="s">
        <v>4279</v>
      </c>
      <c r="N583" s="1">
        <v>627.34</v>
      </c>
      <c r="O583" s="1">
        <f>(ordersTable[[#This Row],[Quantity]]*ordersTable[[#This Row],[UnitPrice]])-ordersTable[[#This Row],[TotalPrice]]</f>
        <v>0</v>
      </c>
    </row>
    <row r="584" spans="1:15" x14ac:dyDescent="0.3">
      <c r="A584" s="1" t="s">
        <v>596</v>
      </c>
      <c r="B584" s="2">
        <v>45341</v>
      </c>
      <c r="C584" s="3" t="s">
        <v>1796</v>
      </c>
      <c r="D584" s="1" t="s">
        <v>2405</v>
      </c>
      <c r="E584" s="5">
        <v>3</v>
      </c>
      <c r="F584" s="4">
        <v>474.14</v>
      </c>
      <c r="G584" s="1" t="s">
        <v>2727</v>
      </c>
      <c r="H584" s="1" t="s">
        <v>3068</v>
      </c>
      <c r="I584" s="1" t="s">
        <v>3070</v>
      </c>
      <c r="J584" s="1" t="s">
        <v>3657</v>
      </c>
      <c r="K584" s="1">
        <v>8</v>
      </c>
      <c r="L584" s="1" t="s">
        <v>4277</v>
      </c>
      <c r="M584" s="1" t="s">
        <v>4282</v>
      </c>
      <c r="N584" s="1">
        <v>1422.42</v>
      </c>
      <c r="O584" s="1">
        <f>(ordersTable[[#This Row],[Quantity]]*ordersTable[[#This Row],[UnitPrice]])-ordersTable[[#This Row],[TotalPrice]]</f>
        <v>0</v>
      </c>
    </row>
    <row r="585" spans="1:15" x14ac:dyDescent="0.3">
      <c r="A585" s="1" t="s">
        <v>597</v>
      </c>
      <c r="B585" s="2">
        <v>45823</v>
      </c>
      <c r="C585" s="3" t="s">
        <v>1797</v>
      </c>
      <c r="D585" s="1" t="s">
        <v>2406</v>
      </c>
      <c r="E585" s="5">
        <v>3</v>
      </c>
      <c r="F585" s="4">
        <v>154.37</v>
      </c>
      <c r="G585" s="1" t="s">
        <v>2441</v>
      </c>
      <c r="H585" s="1" t="s">
        <v>3068</v>
      </c>
      <c r="I585" s="1" t="s">
        <v>3073</v>
      </c>
      <c r="J585" s="1" t="s">
        <v>3658</v>
      </c>
      <c r="K585" s="1">
        <v>4</v>
      </c>
      <c r="M585" s="1" t="s">
        <v>4278</v>
      </c>
      <c r="N585" s="1">
        <v>463.11</v>
      </c>
      <c r="O585" s="1">
        <f>(ordersTable[[#This Row],[Quantity]]*ordersTable[[#This Row],[UnitPrice]])-ordersTable[[#This Row],[TotalPrice]]</f>
        <v>0</v>
      </c>
    </row>
    <row r="586" spans="1:15" x14ac:dyDescent="0.3">
      <c r="A586" s="1" t="s">
        <v>598</v>
      </c>
      <c r="B586" s="2">
        <v>45737</v>
      </c>
      <c r="C586" s="3" t="s">
        <v>1798</v>
      </c>
      <c r="D586" s="1" t="s">
        <v>2406</v>
      </c>
      <c r="E586" s="5">
        <v>4</v>
      </c>
      <c r="F586" s="4">
        <v>145.05000000000001</v>
      </c>
      <c r="G586" s="1" t="s">
        <v>2827</v>
      </c>
      <c r="H586" s="1" t="s">
        <v>3066</v>
      </c>
      <c r="I586" s="1" t="s">
        <v>3073</v>
      </c>
      <c r="J586" s="1" t="s">
        <v>3659</v>
      </c>
      <c r="K586" s="1">
        <v>6</v>
      </c>
      <c r="L586" s="1" t="s">
        <v>4275</v>
      </c>
      <c r="M586" s="1" t="s">
        <v>4282</v>
      </c>
      <c r="N586" s="1">
        <v>580.20000000000005</v>
      </c>
      <c r="O586" s="1">
        <f>(ordersTable[[#This Row],[Quantity]]*ordersTable[[#This Row],[UnitPrice]])-ordersTable[[#This Row],[TotalPrice]]</f>
        <v>0</v>
      </c>
    </row>
    <row r="587" spans="1:15" x14ac:dyDescent="0.3">
      <c r="A587" s="1" t="s">
        <v>599</v>
      </c>
      <c r="B587" s="2">
        <v>45158</v>
      </c>
      <c r="C587" s="3" t="s">
        <v>1799</v>
      </c>
      <c r="D587" s="1" t="s">
        <v>2405</v>
      </c>
      <c r="E587" s="5">
        <v>4</v>
      </c>
      <c r="F587" s="4">
        <v>67.08</v>
      </c>
      <c r="G587" s="1" t="s">
        <v>2709</v>
      </c>
      <c r="H587" s="1" t="s">
        <v>3069</v>
      </c>
      <c r="I587" s="1" t="s">
        <v>3072</v>
      </c>
      <c r="J587" s="1" t="s">
        <v>3660</v>
      </c>
      <c r="K587" s="1">
        <v>8</v>
      </c>
      <c r="L587" s="1" t="s">
        <v>4277</v>
      </c>
      <c r="M587" s="1" t="s">
        <v>4282</v>
      </c>
      <c r="N587" s="1">
        <v>268.32</v>
      </c>
      <c r="O587" s="1">
        <f>(ordersTable[[#This Row],[Quantity]]*ordersTable[[#This Row],[UnitPrice]])-ordersTable[[#This Row],[TotalPrice]]</f>
        <v>0</v>
      </c>
    </row>
    <row r="588" spans="1:15" x14ac:dyDescent="0.3">
      <c r="A588" s="1" t="s">
        <v>600</v>
      </c>
      <c r="B588" s="2">
        <v>45606</v>
      </c>
      <c r="C588" s="3" t="s">
        <v>1800</v>
      </c>
      <c r="D588" s="1" t="s">
        <v>2403</v>
      </c>
      <c r="E588" s="5">
        <v>1</v>
      </c>
      <c r="F588" s="4">
        <v>522.08000000000004</v>
      </c>
      <c r="G588" s="1" t="s">
        <v>2828</v>
      </c>
      <c r="H588" s="1" t="s">
        <v>3068</v>
      </c>
      <c r="I588" s="1" t="s">
        <v>3072</v>
      </c>
      <c r="J588" s="1" t="s">
        <v>3661</v>
      </c>
      <c r="K588" s="1">
        <v>5</v>
      </c>
      <c r="L588" s="1" t="s">
        <v>4276</v>
      </c>
      <c r="M588" s="1" t="s">
        <v>4279</v>
      </c>
      <c r="N588" s="1">
        <v>522.08000000000004</v>
      </c>
      <c r="O588" s="1">
        <f>(ordersTable[[#This Row],[Quantity]]*ordersTable[[#This Row],[UnitPrice]])-ordersTable[[#This Row],[TotalPrice]]</f>
        <v>0</v>
      </c>
    </row>
    <row r="589" spans="1:15" x14ac:dyDescent="0.3">
      <c r="A589" s="1" t="s">
        <v>601</v>
      </c>
      <c r="B589" s="2">
        <v>45089</v>
      </c>
      <c r="C589" s="3" t="s">
        <v>1801</v>
      </c>
      <c r="D589" s="1" t="s">
        <v>2403</v>
      </c>
      <c r="E589" s="5">
        <v>5</v>
      </c>
      <c r="F589" s="4">
        <v>514.6</v>
      </c>
      <c r="G589" s="1" t="s">
        <v>2829</v>
      </c>
      <c r="H589" s="1" t="s">
        <v>3068</v>
      </c>
      <c r="I589" s="1" t="s">
        <v>3073</v>
      </c>
      <c r="J589" s="1" t="s">
        <v>3662</v>
      </c>
      <c r="K589" s="1">
        <v>10</v>
      </c>
      <c r="L589" s="1" t="s">
        <v>4276</v>
      </c>
      <c r="M589" s="1" t="s">
        <v>4278</v>
      </c>
      <c r="N589" s="1">
        <v>2573</v>
      </c>
      <c r="O589" s="1">
        <f>(ordersTable[[#This Row],[Quantity]]*ordersTable[[#This Row],[UnitPrice]])-ordersTable[[#This Row],[TotalPrice]]</f>
        <v>0</v>
      </c>
    </row>
    <row r="590" spans="1:15" x14ac:dyDescent="0.3">
      <c r="A590" s="1" t="s">
        <v>602</v>
      </c>
      <c r="B590" s="2">
        <v>45636</v>
      </c>
      <c r="C590" s="3" t="s">
        <v>1802</v>
      </c>
      <c r="D590" s="1" t="s">
        <v>2403</v>
      </c>
      <c r="E590" s="5">
        <v>4</v>
      </c>
      <c r="F590" s="4">
        <v>577.82000000000005</v>
      </c>
      <c r="G590" s="1" t="s">
        <v>2465</v>
      </c>
      <c r="H590" s="1" t="s">
        <v>3067</v>
      </c>
      <c r="I590" s="1" t="s">
        <v>3073</v>
      </c>
      <c r="J590" s="1" t="s">
        <v>3663</v>
      </c>
      <c r="K590" s="1">
        <v>9</v>
      </c>
      <c r="M590" s="1" t="s">
        <v>4282</v>
      </c>
      <c r="N590" s="1">
        <v>2311.2800000000002</v>
      </c>
      <c r="O590" s="1">
        <f>(ordersTable[[#This Row],[Quantity]]*ordersTable[[#This Row],[UnitPrice]])-ordersTable[[#This Row],[TotalPrice]]</f>
        <v>0</v>
      </c>
    </row>
    <row r="591" spans="1:15" x14ac:dyDescent="0.3">
      <c r="A591" s="1" t="s">
        <v>603</v>
      </c>
      <c r="B591" s="2">
        <v>45698</v>
      </c>
      <c r="C591" s="3" t="s">
        <v>1803</v>
      </c>
      <c r="D591" s="1" t="s">
        <v>2408</v>
      </c>
      <c r="E591" s="5">
        <v>2</v>
      </c>
      <c r="F591" s="4">
        <v>500.8</v>
      </c>
      <c r="G591" s="1" t="s">
        <v>2830</v>
      </c>
      <c r="H591" s="1" t="s">
        <v>3069</v>
      </c>
      <c r="I591" s="1" t="s">
        <v>3073</v>
      </c>
      <c r="J591" s="1" t="s">
        <v>3664</v>
      </c>
      <c r="K591" s="1">
        <v>3</v>
      </c>
      <c r="L591" s="1" t="s">
        <v>4276</v>
      </c>
      <c r="M591" s="1" t="s">
        <v>4279</v>
      </c>
      <c r="N591" s="1">
        <v>1001.6</v>
      </c>
      <c r="O591" s="1">
        <f>(ordersTable[[#This Row],[Quantity]]*ordersTable[[#This Row],[UnitPrice]])-ordersTable[[#This Row],[TotalPrice]]</f>
        <v>0</v>
      </c>
    </row>
    <row r="592" spans="1:15" x14ac:dyDescent="0.3">
      <c r="A592" s="1" t="s">
        <v>604</v>
      </c>
      <c r="B592" s="2">
        <v>45179</v>
      </c>
      <c r="C592" s="3" t="s">
        <v>1804</v>
      </c>
      <c r="D592" s="1" t="s">
        <v>2407</v>
      </c>
      <c r="E592" s="5">
        <v>2</v>
      </c>
      <c r="F592" s="4">
        <v>461.13</v>
      </c>
      <c r="G592" s="1" t="s">
        <v>2831</v>
      </c>
      <c r="H592" s="1" t="s">
        <v>3068</v>
      </c>
      <c r="I592" s="1" t="s">
        <v>3072</v>
      </c>
      <c r="J592" s="1" t="s">
        <v>3665</v>
      </c>
      <c r="K592" s="1">
        <v>4</v>
      </c>
      <c r="M592" s="1" t="s">
        <v>4280</v>
      </c>
      <c r="N592" s="1">
        <v>922.26</v>
      </c>
      <c r="O592" s="1">
        <f>(ordersTable[[#This Row],[Quantity]]*ordersTable[[#This Row],[UnitPrice]])-ordersTable[[#This Row],[TotalPrice]]</f>
        <v>0</v>
      </c>
    </row>
    <row r="593" spans="1:15" x14ac:dyDescent="0.3">
      <c r="A593" s="1" t="s">
        <v>605</v>
      </c>
      <c r="B593" s="2">
        <v>45614</v>
      </c>
      <c r="C593" s="3" t="s">
        <v>1805</v>
      </c>
      <c r="D593" s="1" t="s">
        <v>2408</v>
      </c>
      <c r="E593" s="5">
        <v>1</v>
      </c>
      <c r="F593" s="4">
        <v>605.28</v>
      </c>
      <c r="G593" s="1" t="s">
        <v>2832</v>
      </c>
      <c r="H593" s="1" t="s">
        <v>3068</v>
      </c>
      <c r="I593" s="1" t="s">
        <v>3070</v>
      </c>
      <c r="J593" s="1" t="s">
        <v>3666</v>
      </c>
      <c r="K593" s="1">
        <v>3</v>
      </c>
      <c r="L593" s="1" t="s">
        <v>4276</v>
      </c>
      <c r="M593" s="1" t="s">
        <v>4279</v>
      </c>
      <c r="N593" s="1">
        <v>605.28</v>
      </c>
      <c r="O593" s="1">
        <f>(ordersTable[[#This Row],[Quantity]]*ordersTable[[#This Row],[UnitPrice]])-ordersTable[[#This Row],[TotalPrice]]</f>
        <v>0</v>
      </c>
    </row>
    <row r="594" spans="1:15" x14ac:dyDescent="0.3">
      <c r="A594" s="1" t="s">
        <v>606</v>
      </c>
      <c r="B594" s="2">
        <v>45405</v>
      </c>
      <c r="C594" s="3" t="s">
        <v>1806</v>
      </c>
      <c r="D594" s="1" t="s">
        <v>2404</v>
      </c>
      <c r="E594" s="5">
        <v>3</v>
      </c>
      <c r="F594" s="4">
        <v>204.27</v>
      </c>
      <c r="G594" s="1" t="s">
        <v>2803</v>
      </c>
      <c r="H594" s="1" t="s">
        <v>3066</v>
      </c>
      <c r="I594" s="1" t="s">
        <v>3072</v>
      </c>
      <c r="J594" s="1" t="s">
        <v>3667</v>
      </c>
      <c r="K594" s="1">
        <v>4</v>
      </c>
      <c r="M594" s="1" t="s">
        <v>4282</v>
      </c>
      <c r="N594" s="1">
        <v>612.81000000000006</v>
      </c>
      <c r="O594" s="1">
        <f>(ordersTable[[#This Row],[Quantity]]*ordersTable[[#This Row],[UnitPrice]])-ordersTable[[#This Row],[TotalPrice]]</f>
        <v>0</v>
      </c>
    </row>
    <row r="595" spans="1:15" x14ac:dyDescent="0.3">
      <c r="A595" s="1" t="s">
        <v>607</v>
      </c>
      <c r="B595" s="2">
        <v>45140</v>
      </c>
      <c r="C595" s="3" t="s">
        <v>1807</v>
      </c>
      <c r="D595" s="1" t="s">
        <v>2403</v>
      </c>
      <c r="E595" s="5">
        <v>1</v>
      </c>
      <c r="F595" s="4">
        <v>489.8</v>
      </c>
      <c r="G595" s="1" t="s">
        <v>2535</v>
      </c>
      <c r="H595" s="1" t="s">
        <v>3068</v>
      </c>
      <c r="I595" s="1" t="s">
        <v>3070</v>
      </c>
      <c r="J595" s="1" t="s">
        <v>3668</v>
      </c>
      <c r="K595" s="1">
        <v>4</v>
      </c>
      <c r="L595" s="1" t="s">
        <v>4276</v>
      </c>
      <c r="M595" s="1" t="s">
        <v>4281</v>
      </c>
      <c r="N595" s="1">
        <v>489.8</v>
      </c>
      <c r="O595" s="1">
        <f>(ordersTable[[#This Row],[Quantity]]*ordersTable[[#This Row],[UnitPrice]])-ordersTable[[#This Row],[TotalPrice]]</f>
        <v>0</v>
      </c>
    </row>
    <row r="596" spans="1:15" x14ac:dyDescent="0.3">
      <c r="A596" s="1" t="s">
        <v>608</v>
      </c>
      <c r="B596" s="2">
        <v>45343</v>
      </c>
      <c r="C596" s="3" t="s">
        <v>1808</v>
      </c>
      <c r="D596" s="1" t="s">
        <v>2404</v>
      </c>
      <c r="E596" s="5">
        <v>5</v>
      </c>
      <c r="F596" s="4">
        <v>72.64</v>
      </c>
      <c r="G596" s="1" t="s">
        <v>2538</v>
      </c>
      <c r="H596" s="1" t="s">
        <v>3067</v>
      </c>
      <c r="I596" s="1" t="s">
        <v>3071</v>
      </c>
      <c r="J596" s="1" t="s">
        <v>3669</v>
      </c>
      <c r="K596" s="1">
        <v>7</v>
      </c>
      <c r="M596" s="1" t="s">
        <v>4280</v>
      </c>
      <c r="N596" s="1">
        <v>363.2</v>
      </c>
      <c r="O596" s="1">
        <f>(ordersTable[[#This Row],[Quantity]]*ordersTable[[#This Row],[UnitPrice]])-ordersTable[[#This Row],[TotalPrice]]</f>
        <v>0</v>
      </c>
    </row>
    <row r="597" spans="1:15" x14ac:dyDescent="0.3">
      <c r="A597" s="1" t="s">
        <v>609</v>
      </c>
      <c r="B597" s="2">
        <v>45667</v>
      </c>
      <c r="C597" s="3" t="s">
        <v>1809</v>
      </c>
      <c r="D597" s="1" t="s">
        <v>2407</v>
      </c>
      <c r="E597" s="5">
        <v>2</v>
      </c>
      <c r="F597" s="4">
        <v>385.16</v>
      </c>
      <c r="G597" s="1" t="s">
        <v>2833</v>
      </c>
      <c r="H597" s="1" t="s">
        <v>3066</v>
      </c>
      <c r="I597" s="1" t="s">
        <v>3074</v>
      </c>
      <c r="J597" s="1" t="s">
        <v>3670</v>
      </c>
      <c r="K597" s="1">
        <v>7</v>
      </c>
      <c r="L597" s="1" t="s">
        <v>4275</v>
      </c>
      <c r="M597" s="1" t="s">
        <v>4280</v>
      </c>
      <c r="N597" s="1">
        <v>770.32</v>
      </c>
      <c r="O597" s="1">
        <f>(ordersTable[[#This Row],[Quantity]]*ordersTable[[#This Row],[UnitPrice]])-ordersTable[[#This Row],[TotalPrice]]</f>
        <v>0</v>
      </c>
    </row>
    <row r="598" spans="1:15" x14ac:dyDescent="0.3">
      <c r="A598" s="1" t="s">
        <v>610</v>
      </c>
      <c r="B598" s="2">
        <v>45089</v>
      </c>
      <c r="C598" s="3" t="s">
        <v>1810</v>
      </c>
      <c r="D598" s="1" t="s">
        <v>2409</v>
      </c>
      <c r="E598" s="5">
        <v>3</v>
      </c>
      <c r="F598" s="4">
        <v>606.41</v>
      </c>
      <c r="G598" s="1" t="s">
        <v>2834</v>
      </c>
      <c r="H598" s="1" t="s">
        <v>3065</v>
      </c>
      <c r="I598" s="1" t="s">
        <v>3072</v>
      </c>
      <c r="J598" s="1" t="s">
        <v>3671</v>
      </c>
      <c r="K598" s="1">
        <v>7</v>
      </c>
      <c r="L598" s="1" t="s">
        <v>4276</v>
      </c>
      <c r="M598" s="1" t="s">
        <v>4281</v>
      </c>
      <c r="N598" s="1">
        <v>1819.23</v>
      </c>
      <c r="O598" s="1">
        <f>(ordersTable[[#This Row],[Quantity]]*ordersTable[[#This Row],[UnitPrice]])-ordersTable[[#This Row],[TotalPrice]]</f>
        <v>0</v>
      </c>
    </row>
    <row r="599" spans="1:15" x14ac:dyDescent="0.3">
      <c r="A599" s="1" t="s">
        <v>611</v>
      </c>
      <c r="B599" s="2">
        <v>45621</v>
      </c>
      <c r="C599" s="3" t="s">
        <v>1811</v>
      </c>
      <c r="D599" s="1" t="s">
        <v>2409</v>
      </c>
      <c r="E599" s="5">
        <v>2</v>
      </c>
      <c r="F599" s="4">
        <v>211.82</v>
      </c>
      <c r="G599" s="1" t="s">
        <v>2835</v>
      </c>
      <c r="H599" s="1" t="s">
        <v>3068</v>
      </c>
      <c r="I599" s="1" t="s">
        <v>3071</v>
      </c>
      <c r="J599" s="1" t="s">
        <v>3672</v>
      </c>
      <c r="K599" s="1">
        <v>4</v>
      </c>
      <c r="L599" s="1" t="s">
        <v>4277</v>
      </c>
      <c r="M599" s="1" t="s">
        <v>4280</v>
      </c>
      <c r="N599" s="1">
        <v>423.64</v>
      </c>
      <c r="O599" s="1">
        <f>(ordersTable[[#This Row],[Quantity]]*ordersTable[[#This Row],[UnitPrice]])-ordersTable[[#This Row],[TotalPrice]]</f>
        <v>0</v>
      </c>
    </row>
    <row r="600" spans="1:15" x14ac:dyDescent="0.3">
      <c r="A600" s="1" t="s">
        <v>612</v>
      </c>
      <c r="B600" s="2">
        <v>45408</v>
      </c>
      <c r="C600" s="3" t="s">
        <v>1812</v>
      </c>
      <c r="D600" s="1" t="s">
        <v>2409</v>
      </c>
      <c r="E600" s="5">
        <v>5</v>
      </c>
      <c r="F600" s="4">
        <v>495.35</v>
      </c>
      <c r="G600" s="1" t="s">
        <v>2693</v>
      </c>
      <c r="H600" s="1" t="s">
        <v>3067</v>
      </c>
      <c r="I600" s="1" t="s">
        <v>3074</v>
      </c>
      <c r="J600" s="1" t="s">
        <v>3673</v>
      </c>
      <c r="K600" s="1">
        <v>5</v>
      </c>
      <c r="M600" s="1" t="s">
        <v>4281</v>
      </c>
      <c r="N600" s="1">
        <v>2476.75</v>
      </c>
      <c r="O600" s="1">
        <f>(ordersTable[[#This Row],[Quantity]]*ordersTable[[#This Row],[UnitPrice]])-ordersTable[[#This Row],[TotalPrice]]</f>
        <v>0</v>
      </c>
    </row>
    <row r="601" spans="1:15" x14ac:dyDescent="0.3">
      <c r="A601" s="1" t="s">
        <v>613</v>
      </c>
      <c r="B601" s="2">
        <v>45107</v>
      </c>
      <c r="C601" s="3" t="s">
        <v>1813</v>
      </c>
      <c r="D601" s="1" t="s">
        <v>2406</v>
      </c>
      <c r="E601" s="5">
        <v>3</v>
      </c>
      <c r="F601" s="4">
        <v>556.99</v>
      </c>
      <c r="G601" s="1" t="s">
        <v>2739</v>
      </c>
      <c r="H601" s="1" t="s">
        <v>3066</v>
      </c>
      <c r="I601" s="1" t="s">
        <v>3071</v>
      </c>
      <c r="J601" s="1" t="s">
        <v>3674</v>
      </c>
      <c r="K601" s="1">
        <v>4</v>
      </c>
      <c r="L601" s="1" t="s">
        <v>4276</v>
      </c>
      <c r="M601" s="1" t="s">
        <v>4281</v>
      </c>
      <c r="N601" s="1">
        <v>1670.97</v>
      </c>
      <c r="O601" s="1">
        <f>(ordersTable[[#This Row],[Quantity]]*ordersTable[[#This Row],[UnitPrice]])-ordersTable[[#This Row],[TotalPrice]]</f>
        <v>0</v>
      </c>
    </row>
    <row r="602" spans="1:15" x14ac:dyDescent="0.3">
      <c r="A602" s="1" t="s">
        <v>614</v>
      </c>
      <c r="B602" s="2">
        <v>45072</v>
      </c>
      <c r="C602" s="3" t="s">
        <v>1814</v>
      </c>
      <c r="D602" s="1" t="s">
        <v>2407</v>
      </c>
      <c r="E602" s="5">
        <v>1</v>
      </c>
      <c r="F602" s="4">
        <v>72.31</v>
      </c>
      <c r="G602" s="1" t="s">
        <v>2633</v>
      </c>
      <c r="H602" s="1" t="s">
        <v>3068</v>
      </c>
      <c r="I602" s="1" t="s">
        <v>3071</v>
      </c>
      <c r="J602" s="1" t="s">
        <v>3675</v>
      </c>
      <c r="K602" s="1">
        <v>1</v>
      </c>
      <c r="L602" s="1" t="s">
        <v>4276</v>
      </c>
      <c r="M602" s="1" t="s">
        <v>4281</v>
      </c>
      <c r="N602" s="1">
        <v>72.31</v>
      </c>
      <c r="O602" s="1">
        <f>(ordersTable[[#This Row],[Quantity]]*ordersTable[[#This Row],[UnitPrice]])-ordersTable[[#This Row],[TotalPrice]]</f>
        <v>0</v>
      </c>
    </row>
    <row r="603" spans="1:15" x14ac:dyDescent="0.3">
      <c r="A603" s="1" t="s">
        <v>615</v>
      </c>
      <c r="B603" s="2">
        <v>45201</v>
      </c>
      <c r="C603" s="3" t="s">
        <v>1815</v>
      </c>
      <c r="D603" s="1" t="s">
        <v>2403</v>
      </c>
      <c r="E603" s="5">
        <v>5</v>
      </c>
      <c r="F603" s="4">
        <v>24.82</v>
      </c>
      <c r="G603" s="1" t="s">
        <v>2836</v>
      </c>
      <c r="H603" s="1" t="s">
        <v>3067</v>
      </c>
      <c r="I603" s="1" t="s">
        <v>3070</v>
      </c>
      <c r="J603" s="1" t="s">
        <v>3676</v>
      </c>
      <c r="K603" s="1">
        <v>10</v>
      </c>
      <c r="M603" s="1" t="s">
        <v>4279</v>
      </c>
      <c r="N603" s="1">
        <v>124.1</v>
      </c>
      <c r="O603" s="1">
        <f>(ordersTable[[#This Row],[Quantity]]*ordersTable[[#This Row],[UnitPrice]])-ordersTable[[#This Row],[TotalPrice]]</f>
        <v>0</v>
      </c>
    </row>
    <row r="604" spans="1:15" x14ac:dyDescent="0.3">
      <c r="A604" s="1" t="s">
        <v>616</v>
      </c>
      <c r="B604" s="2">
        <v>45356</v>
      </c>
      <c r="C604" s="3" t="s">
        <v>1696</v>
      </c>
      <c r="D604" s="1" t="s">
        <v>2405</v>
      </c>
      <c r="E604" s="5">
        <v>4</v>
      </c>
      <c r="F604" s="4">
        <v>26.04</v>
      </c>
      <c r="G604" s="1" t="s">
        <v>2782</v>
      </c>
      <c r="H604" s="1" t="s">
        <v>3066</v>
      </c>
      <c r="I604" s="1" t="s">
        <v>3074</v>
      </c>
      <c r="J604" s="1" t="s">
        <v>3677</v>
      </c>
      <c r="K604" s="1">
        <v>5</v>
      </c>
      <c r="L604" s="1" t="s">
        <v>4275</v>
      </c>
      <c r="M604" s="1" t="s">
        <v>4278</v>
      </c>
      <c r="N604" s="1">
        <v>104.16</v>
      </c>
      <c r="O604" s="1">
        <f>(ordersTable[[#This Row],[Quantity]]*ordersTable[[#This Row],[UnitPrice]])-ordersTable[[#This Row],[TotalPrice]]</f>
        <v>0</v>
      </c>
    </row>
    <row r="605" spans="1:15" x14ac:dyDescent="0.3">
      <c r="A605" s="1" t="s">
        <v>617</v>
      </c>
      <c r="B605" s="2">
        <v>45569</v>
      </c>
      <c r="C605" s="3" t="s">
        <v>1816</v>
      </c>
      <c r="D605" s="1" t="s">
        <v>2405</v>
      </c>
      <c r="E605" s="5">
        <v>1</v>
      </c>
      <c r="F605" s="4">
        <v>657.07</v>
      </c>
      <c r="G605" s="1" t="s">
        <v>2837</v>
      </c>
      <c r="H605" s="1" t="s">
        <v>3069</v>
      </c>
      <c r="I605" s="1" t="s">
        <v>3074</v>
      </c>
      <c r="J605" s="1" t="s">
        <v>3678</v>
      </c>
      <c r="K605" s="1">
        <v>4</v>
      </c>
      <c r="L605" s="1" t="s">
        <v>4275</v>
      </c>
      <c r="M605" s="1" t="s">
        <v>4282</v>
      </c>
      <c r="N605" s="1">
        <v>657.07</v>
      </c>
      <c r="O605" s="1">
        <f>(ordersTable[[#This Row],[Quantity]]*ordersTable[[#This Row],[UnitPrice]])-ordersTable[[#This Row],[TotalPrice]]</f>
        <v>0</v>
      </c>
    </row>
    <row r="606" spans="1:15" x14ac:dyDescent="0.3">
      <c r="A606" s="1" t="s">
        <v>618</v>
      </c>
      <c r="B606" s="2">
        <v>45830</v>
      </c>
      <c r="C606" s="3" t="s">
        <v>1817</v>
      </c>
      <c r="D606" s="1" t="s">
        <v>2406</v>
      </c>
      <c r="E606" s="5">
        <v>3</v>
      </c>
      <c r="F606" s="4">
        <v>32.619999999999997</v>
      </c>
      <c r="G606" s="1" t="s">
        <v>2661</v>
      </c>
      <c r="H606" s="1" t="s">
        <v>3065</v>
      </c>
      <c r="I606" s="1" t="s">
        <v>3073</v>
      </c>
      <c r="J606" s="1" t="s">
        <v>3679</v>
      </c>
      <c r="K606" s="1">
        <v>6</v>
      </c>
      <c r="M606" s="1" t="s">
        <v>4281</v>
      </c>
      <c r="N606" s="1">
        <v>97.859999999999985</v>
      </c>
      <c r="O606" s="1">
        <f>(ordersTable[[#This Row],[Quantity]]*ordersTable[[#This Row],[UnitPrice]])-ordersTable[[#This Row],[TotalPrice]]</f>
        <v>0</v>
      </c>
    </row>
    <row r="607" spans="1:15" x14ac:dyDescent="0.3">
      <c r="A607" s="1" t="s">
        <v>619</v>
      </c>
      <c r="B607" s="2">
        <v>45422</v>
      </c>
      <c r="C607" s="3" t="s">
        <v>1818</v>
      </c>
      <c r="D607" s="1" t="s">
        <v>2403</v>
      </c>
      <c r="E607" s="5">
        <v>2</v>
      </c>
      <c r="F607" s="4">
        <v>228.91</v>
      </c>
      <c r="G607" s="1" t="s">
        <v>2838</v>
      </c>
      <c r="H607" s="1" t="s">
        <v>3065</v>
      </c>
      <c r="I607" s="1" t="s">
        <v>3070</v>
      </c>
      <c r="J607" s="1" t="s">
        <v>3680</v>
      </c>
      <c r="K607" s="1">
        <v>4</v>
      </c>
      <c r="L607" s="1" t="s">
        <v>4275</v>
      </c>
      <c r="M607" s="1" t="s">
        <v>4279</v>
      </c>
      <c r="N607" s="1">
        <v>457.82</v>
      </c>
      <c r="O607" s="1">
        <f>(ordersTable[[#This Row],[Quantity]]*ordersTable[[#This Row],[UnitPrice]])-ordersTable[[#This Row],[TotalPrice]]</f>
        <v>0</v>
      </c>
    </row>
    <row r="608" spans="1:15" x14ac:dyDescent="0.3">
      <c r="A608" s="1" t="s">
        <v>620</v>
      </c>
      <c r="B608" s="2">
        <v>45602</v>
      </c>
      <c r="C608" s="3" t="s">
        <v>1819</v>
      </c>
      <c r="D608" s="1" t="s">
        <v>2408</v>
      </c>
      <c r="E608" s="5">
        <v>3</v>
      </c>
      <c r="F608" s="4">
        <v>274.75</v>
      </c>
      <c r="G608" s="1" t="s">
        <v>2614</v>
      </c>
      <c r="H608" s="1" t="s">
        <v>3069</v>
      </c>
      <c r="I608" s="1" t="s">
        <v>3071</v>
      </c>
      <c r="J608" s="1" t="s">
        <v>3681</v>
      </c>
      <c r="K608" s="1">
        <v>3</v>
      </c>
      <c r="L608" s="1" t="s">
        <v>4275</v>
      </c>
      <c r="M608" s="1" t="s">
        <v>4282</v>
      </c>
      <c r="N608" s="1">
        <v>824.25</v>
      </c>
      <c r="O608" s="1">
        <f>(ordersTable[[#This Row],[Quantity]]*ordersTable[[#This Row],[UnitPrice]])-ordersTable[[#This Row],[TotalPrice]]</f>
        <v>0</v>
      </c>
    </row>
    <row r="609" spans="1:15" x14ac:dyDescent="0.3">
      <c r="A609" s="1" t="s">
        <v>621</v>
      </c>
      <c r="B609" s="2">
        <v>45808</v>
      </c>
      <c r="C609" s="3" t="s">
        <v>1820</v>
      </c>
      <c r="D609" s="1" t="s">
        <v>2407</v>
      </c>
      <c r="E609" s="5">
        <v>4</v>
      </c>
      <c r="F609" s="4">
        <v>634.04999999999995</v>
      </c>
      <c r="G609" s="1" t="s">
        <v>2839</v>
      </c>
      <c r="H609" s="1" t="s">
        <v>3069</v>
      </c>
      <c r="I609" s="1" t="s">
        <v>3070</v>
      </c>
      <c r="J609" s="1" t="s">
        <v>3682</v>
      </c>
      <c r="K609" s="1">
        <v>6</v>
      </c>
      <c r="L609" s="1" t="s">
        <v>4275</v>
      </c>
      <c r="M609" s="1" t="s">
        <v>4282</v>
      </c>
      <c r="N609" s="1">
        <v>2536.1999999999998</v>
      </c>
      <c r="O609" s="1">
        <f>(ordersTable[[#This Row],[Quantity]]*ordersTable[[#This Row],[UnitPrice]])-ordersTable[[#This Row],[TotalPrice]]</f>
        <v>0</v>
      </c>
    </row>
    <row r="610" spans="1:15" x14ac:dyDescent="0.3">
      <c r="A610" s="1" t="s">
        <v>622</v>
      </c>
      <c r="B610" s="2">
        <v>45497</v>
      </c>
      <c r="C610" s="3" t="s">
        <v>1821</v>
      </c>
      <c r="D610" s="1" t="s">
        <v>2408</v>
      </c>
      <c r="E610" s="5">
        <v>5</v>
      </c>
      <c r="F610" s="4">
        <v>543.16</v>
      </c>
      <c r="G610" s="1" t="s">
        <v>2840</v>
      </c>
      <c r="H610" s="1" t="s">
        <v>3066</v>
      </c>
      <c r="I610" s="1" t="s">
        <v>3071</v>
      </c>
      <c r="J610" s="1" t="s">
        <v>3683</v>
      </c>
      <c r="K610" s="1">
        <v>6</v>
      </c>
      <c r="L610" s="1" t="s">
        <v>4275</v>
      </c>
      <c r="M610" s="1" t="s">
        <v>4278</v>
      </c>
      <c r="N610" s="1">
        <v>2715.8</v>
      </c>
      <c r="O610" s="1">
        <f>(ordersTable[[#This Row],[Quantity]]*ordersTable[[#This Row],[UnitPrice]])-ordersTable[[#This Row],[TotalPrice]]</f>
        <v>0</v>
      </c>
    </row>
    <row r="611" spans="1:15" x14ac:dyDescent="0.3">
      <c r="A611" s="1" t="s">
        <v>623</v>
      </c>
      <c r="B611" s="2">
        <v>45684</v>
      </c>
      <c r="C611" s="3" t="s">
        <v>1822</v>
      </c>
      <c r="D611" s="1" t="s">
        <v>2406</v>
      </c>
      <c r="E611" s="5">
        <v>3</v>
      </c>
      <c r="F611" s="4">
        <v>449.13</v>
      </c>
      <c r="G611" s="1" t="s">
        <v>2841</v>
      </c>
      <c r="H611" s="1" t="s">
        <v>3069</v>
      </c>
      <c r="I611" s="1" t="s">
        <v>3072</v>
      </c>
      <c r="J611" s="1" t="s">
        <v>3684</v>
      </c>
      <c r="K611" s="1">
        <v>5</v>
      </c>
      <c r="L611" s="1" t="s">
        <v>4277</v>
      </c>
      <c r="M611" s="1" t="s">
        <v>4279</v>
      </c>
      <c r="N611" s="1">
        <v>1347.39</v>
      </c>
      <c r="O611" s="1">
        <f>(ordersTable[[#This Row],[Quantity]]*ordersTable[[#This Row],[UnitPrice]])-ordersTable[[#This Row],[TotalPrice]]</f>
        <v>0</v>
      </c>
    </row>
    <row r="612" spans="1:15" x14ac:dyDescent="0.3">
      <c r="A612" s="1" t="s">
        <v>624</v>
      </c>
      <c r="B612" s="2">
        <v>45459</v>
      </c>
      <c r="C612" s="3" t="s">
        <v>1823</v>
      </c>
      <c r="D612" s="1" t="s">
        <v>2409</v>
      </c>
      <c r="E612" s="5">
        <v>5</v>
      </c>
      <c r="F612" s="4">
        <v>389.62</v>
      </c>
      <c r="G612" s="1" t="s">
        <v>2460</v>
      </c>
      <c r="H612" s="1" t="s">
        <v>3069</v>
      </c>
      <c r="I612" s="1" t="s">
        <v>3072</v>
      </c>
      <c r="J612" s="1" t="s">
        <v>3685</v>
      </c>
      <c r="K612" s="1">
        <v>7</v>
      </c>
      <c r="L612" s="1" t="s">
        <v>4276</v>
      </c>
      <c r="M612" s="1" t="s">
        <v>4281</v>
      </c>
      <c r="N612" s="1">
        <v>1948.1</v>
      </c>
      <c r="O612" s="1">
        <f>(ordersTable[[#This Row],[Quantity]]*ordersTable[[#This Row],[UnitPrice]])-ordersTable[[#This Row],[TotalPrice]]</f>
        <v>0</v>
      </c>
    </row>
    <row r="613" spans="1:15" x14ac:dyDescent="0.3">
      <c r="A613" s="1" t="s">
        <v>625</v>
      </c>
      <c r="B613" s="2">
        <v>45037</v>
      </c>
      <c r="C613" s="3" t="s">
        <v>1824</v>
      </c>
      <c r="D613" s="1" t="s">
        <v>2409</v>
      </c>
      <c r="E613" s="5">
        <v>1</v>
      </c>
      <c r="F613" s="4">
        <v>305.17</v>
      </c>
      <c r="G613" s="1" t="s">
        <v>2835</v>
      </c>
      <c r="H613" s="1" t="s">
        <v>3068</v>
      </c>
      <c r="I613" s="1" t="s">
        <v>3072</v>
      </c>
      <c r="J613" s="1" t="s">
        <v>3686</v>
      </c>
      <c r="K613" s="1">
        <v>3</v>
      </c>
      <c r="L613" s="1" t="s">
        <v>4277</v>
      </c>
      <c r="M613" s="1" t="s">
        <v>4279</v>
      </c>
      <c r="N613" s="1">
        <v>305.17</v>
      </c>
      <c r="O613" s="1">
        <f>(ordersTable[[#This Row],[Quantity]]*ordersTable[[#This Row],[UnitPrice]])-ordersTable[[#This Row],[TotalPrice]]</f>
        <v>0</v>
      </c>
    </row>
    <row r="614" spans="1:15" x14ac:dyDescent="0.3">
      <c r="A614" s="1" t="s">
        <v>626</v>
      </c>
      <c r="B614" s="2">
        <v>45079</v>
      </c>
      <c r="C614" s="3" t="s">
        <v>1825</v>
      </c>
      <c r="D614" s="1" t="s">
        <v>2406</v>
      </c>
      <c r="E614" s="5">
        <v>3</v>
      </c>
      <c r="F614" s="4">
        <v>445.12</v>
      </c>
      <c r="G614" s="1" t="s">
        <v>2678</v>
      </c>
      <c r="H614" s="1" t="s">
        <v>3068</v>
      </c>
      <c r="I614" s="1" t="s">
        <v>3071</v>
      </c>
      <c r="J614" s="1" t="s">
        <v>3687</v>
      </c>
      <c r="K614" s="1">
        <v>8</v>
      </c>
      <c r="M614" s="1" t="s">
        <v>4282</v>
      </c>
      <c r="N614" s="1">
        <v>1335.36</v>
      </c>
      <c r="O614" s="1">
        <f>(ordersTable[[#This Row],[Quantity]]*ordersTable[[#This Row],[UnitPrice]])-ordersTable[[#This Row],[TotalPrice]]</f>
        <v>0</v>
      </c>
    </row>
    <row r="615" spans="1:15" x14ac:dyDescent="0.3">
      <c r="A615" s="1" t="s">
        <v>627</v>
      </c>
      <c r="B615" s="2">
        <v>45645</v>
      </c>
      <c r="C615" s="3" t="s">
        <v>1826</v>
      </c>
      <c r="D615" s="1" t="s">
        <v>2408</v>
      </c>
      <c r="E615" s="5">
        <v>2</v>
      </c>
      <c r="F615" s="4">
        <v>230.36</v>
      </c>
      <c r="G615" s="1" t="s">
        <v>2842</v>
      </c>
      <c r="H615" s="1" t="s">
        <v>3066</v>
      </c>
      <c r="I615" s="1" t="s">
        <v>3072</v>
      </c>
      <c r="J615" s="1" t="s">
        <v>3688</v>
      </c>
      <c r="K615" s="1">
        <v>4</v>
      </c>
      <c r="L615" s="1" t="s">
        <v>4277</v>
      </c>
      <c r="M615" s="1" t="s">
        <v>4280</v>
      </c>
      <c r="N615" s="1">
        <v>460.72</v>
      </c>
      <c r="O615" s="1">
        <f>(ordersTable[[#This Row],[Quantity]]*ordersTable[[#This Row],[UnitPrice]])-ordersTable[[#This Row],[TotalPrice]]</f>
        <v>0</v>
      </c>
    </row>
    <row r="616" spans="1:15" x14ac:dyDescent="0.3">
      <c r="A616" s="1" t="s">
        <v>628</v>
      </c>
      <c r="B616" s="2">
        <v>45359</v>
      </c>
      <c r="C616" s="3" t="s">
        <v>1827</v>
      </c>
      <c r="D616" s="1" t="s">
        <v>2404</v>
      </c>
      <c r="E616" s="5">
        <v>1</v>
      </c>
      <c r="F616" s="4">
        <v>96.81</v>
      </c>
      <c r="G616" s="1" t="s">
        <v>2521</v>
      </c>
      <c r="H616" s="1" t="s">
        <v>3068</v>
      </c>
      <c r="I616" s="1" t="s">
        <v>3071</v>
      </c>
      <c r="J616" s="1" t="s">
        <v>3689</v>
      </c>
      <c r="K616" s="1">
        <v>3</v>
      </c>
      <c r="M616" s="1" t="s">
        <v>4279</v>
      </c>
      <c r="N616" s="1">
        <v>96.81</v>
      </c>
      <c r="O616" s="1">
        <f>(ordersTable[[#This Row],[Quantity]]*ordersTable[[#This Row],[UnitPrice]])-ordersTable[[#This Row],[TotalPrice]]</f>
        <v>0</v>
      </c>
    </row>
    <row r="617" spans="1:15" x14ac:dyDescent="0.3">
      <c r="A617" s="1" t="s">
        <v>629</v>
      </c>
      <c r="B617" s="2">
        <v>45723</v>
      </c>
      <c r="C617" s="3" t="s">
        <v>1828</v>
      </c>
      <c r="D617" s="1" t="s">
        <v>2403</v>
      </c>
      <c r="E617" s="5">
        <v>5</v>
      </c>
      <c r="F617" s="4">
        <v>460.14</v>
      </c>
      <c r="G617" s="1" t="s">
        <v>2661</v>
      </c>
      <c r="H617" s="1" t="s">
        <v>3067</v>
      </c>
      <c r="I617" s="1" t="s">
        <v>3072</v>
      </c>
      <c r="J617" s="1" t="s">
        <v>3690</v>
      </c>
      <c r="K617" s="1">
        <v>10</v>
      </c>
      <c r="L617" s="1" t="s">
        <v>4277</v>
      </c>
      <c r="M617" s="1" t="s">
        <v>4281</v>
      </c>
      <c r="N617" s="1">
        <v>2300.6999999999998</v>
      </c>
      <c r="O617" s="1">
        <f>(ordersTable[[#This Row],[Quantity]]*ordersTable[[#This Row],[UnitPrice]])-ordersTable[[#This Row],[TotalPrice]]</f>
        <v>0</v>
      </c>
    </row>
    <row r="618" spans="1:15" x14ac:dyDescent="0.3">
      <c r="A618" s="1" t="s">
        <v>630</v>
      </c>
      <c r="B618" s="2">
        <v>45582</v>
      </c>
      <c r="C618" s="3" t="s">
        <v>1829</v>
      </c>
      <c r="D618" s="1" t="s">
        <v>2405</v>
      </c>
      <c r="E618" s="5">
        <v>3</v>
      </c>
      <c r="F618" s="4">
        <v>601.6</v>
      </c>
      <c r="G618" s="1" t="s">
        <v>2843</v>
      </c>
      <c r="H618" s="1" t="s">
        <v>3067</v>
      </c>
      <c r="I618" s="1" t="s">
        <v>3071</v>
      </c>
      <c r="J618" s="1" t="s">
        <v>3691</v>
      </c>
      <c r="K618" s="1">
        <v>7</v>
      </c>
      <c r="L618" s="1" t="s">
        <v>4275</v>
      </c>
      <c r="M618" s="1" t="s">
        <v>4281</v>
      </c>
      <c r="N618" s="1">
        <v>1804.8</v>
      </c>
      <c r="O618" s="1">
        <f>(ordersTable[[#This Row],[Quantity]]*ordersTable[[#This Row],[UnitPrice]])-ordersTable[[#This Row],[TotalPrice]]</f>
        <v>0</v>
      </c>
    </row>
    <row r="619" spans="1:15" x14ac:dyDescent="0.3">
      <c r="A619" s="1" t="s">
        <v>631</v>
      </c>
      <c r="B619" s="2">
        <v>45330</v>
      </c>
      <c r="C619" s="3" t="s">
        <v>1830</v>
      </c>
      <c r="D619" s="1" t="s">
        <v>2405</v>
      </c>
      <c r="E619" s="5">
        <v>3</v>
      </c>
      <c r="F619" s="4">
        <v>184.47</v>
      </c>
      <c r="G619" s="1" t="s">
        <v>2844</v>
      </c>
      <c r="H619" s="1" t="s">
        <v>3066</v>
      </c>
      <c r="I619" s="1" t="s">
        <v>3071</v>
      </c>
      <c r="J619" s="1" t="s">
        <v>3692</v>
      </c>
      <c r="K619" s="1">
        <v>4</v>
      </c>
      <c r="M619" s="1" t="s">
        <v>4279</v>
      </c>
      <c r="N619" s="1">
        <v>553.41</v>
      </c>
      <c r="O619" s="1">
        <f>(ordersTable[[#This Row],[Quantity]]*ordersTable[[#This Row],[UnitPrice]])-ordersTable[[#This Row],[TotalPrice]]</f>
        <v>0</v>
      </c>
    </row>
    <row r="620" spans="1:15" x14ac:dyDescent="0.3">
      <c r="A620" s="1" t="s">
        <v>632</v>
      </c>
      <c r="B620" s="2">
        <v>45538</v>
      </c>
      <c r="C620" s="3" t="s">
        <v>1831</v>
      </c>
      <c r="D620" s="1" t="s">
        <v>2405</v>
      </c>
      <c r="E620" s="5">
        <v>1</v>
      </c>
      <c r="F620" s="4">
        <v>411.34</v>
      </c>
      <c r="G620" s="1" t="s">
        <v>2845</v>
      </c>
      <c r="H620" s="1" t="s">
        <v>3065</v>
      </c>
      <c r="I620" s="1" t="s">
        <v>3072</v>
      </c>
      <c r="J620" s="1" t="s">
        <v>3693</v>
      </c>
      <c r="K620" s="1">
        <v>5</v>
      </c>
      <c r="M620" s="1" t="s">
        <v>4278</v>
      </c>
      <c r="N620" s="1">
        <v>411.34</v>
      </c>
      <c r="O620" s="1">
        <f>(ordersTable[[#This Row],[Quantity]]*ordersTable[[#This Row],[UnitPrice]])-ordersTable[[#This Row],[TotalPrice]]</f>
        <v>0</v>
      </c>
    </row>
    <row r="621" spans="1:15" x14ac:dyDescent="0.3">
      <c r="A621" s="1" t="s">
        <v>633</v>
      </c>
      <c r="B621" s="2">
        <v>45489</v>
      </c>
      <c r="C621" s="3" t="s">
        <v>1832</v>
      </c>
      <c r="D621" s="1" t="s">
        <v>2408</v>
      </c>
      <c r="E621" s="5">
        <v>1</v>
      </c>
      <c r="F621" s="4">
        <v>532.89</v>
      </c>
      <c r="G621" s="1" t="s">
        <v>2783</v>
      </c>
      <c r="H621" s="1" t="s">
        <v>3068</v>
      </c>
      <c r="I621" s="1" t="s">
        <v>3074</v>
      </c>
      <c r="J621" s="1" t="s">
        <v>3694</v>
      </c>
      <c r="K621" s="1">
        <v>2</v>
      </c>
      <c r="M621" s="1" t="s">
        <v>4279</v>
      </c>
      <c r="N621" s="1">
        <v>532.89</v>
      </c>
      <c r="O621" s="1">
        <f>(ordersTable[[#This Row],[Quantity]]*ordersTable[[#This Row],[UnitPrice]])-ordersTable[[#This Row],[TotalPrice]]</f>
        <v>0</v>
      </c>
    </row>
    <row r="622" spans="1:15" x14ac:dyDescent="0.3">
      <c r="A622" s="1" t="s">
        <v>634</v>
      </c>
      <c r="B622" s="2">
        <v>45378</v>
      </c>
      <c r="C622" s="3" t="s">
        <v>1833</v>
      </c>
      <c r="D622" s="1" t="s">
        <v>2405</v>
      </c>
      <c r="E622" s="5">
        <v>3</v>
      </c>
      <c r="F622" s="4">
        <v>136.34</v>
      </c>
      <c r="G622" s="1" t="s">
        <v>2846</v>
      </c>
      <c r="H622" s="1" t="s">
        <v>3065</v>
      </c>
      <c r="I622" s="1" t="s">
        <v>3072</v>
      </c>
      <c r="J622" s="1" t="s">
        <v>3695</v>
      </c>
      <c r="K622" s="1">
        <v>8</v>
      </c>
      <c r="L622" s="1" t="s">
        <v>4275</v>
      </c>
      <c r="M622" s="1" t="s">
        <v>4279</v>
      </c>
      <c r="N622" s="1">
        <v>409.02</v>
      </c>
      <c r="O622" s="1">
        <f>(ordersTable[[#This Row],[Quantity]]*ordersTable[[#This Row],[UnitPrice]])-ordersTable[[#This Row],[TotalPrice]]</f>
        <v>0</v>
      </c>
    </row>
    <row r="623" spans="1:15" x14ac:dyDescent="0.3">
      <c r="A623" s="1" t="s">
        <v>635</v>
      </c>
      <c r="B623" s="2">
        <v>45221</v>
      </c>
      <c r="C623" s="3" t="s">
        <v>1834</v>
      </c>
      <c r="D623" s="1" t="s">
        <v>2404</v>
      </c>
      <c r="E623" s="5">
        <v>5</v>
      </c>
      <c r="F623" s="4">
        <v>476.01</v>
      </c>
      <c r="G623" s="1" t="s">
        <v>2482</v>
      </c>
      <c r="H623" s="1" t="s">
        <v>3067</v>
      </c>
      <c r="I623" s="1" t="s">
        <v>3073</v>
      </c>
      <c r="J623" s="1" t="s">
        <v>3696</v>
      </c>
      <c r="K623" s="1">
        <v>7</v>
      </c>
      <c r="L623" s="1" t="s">
        <v>4277</v>
      </c>
      <c r="M623" s="1" t="s">
        <v>4282</v>
      </c>
      <c r="N623" s="1">
        <v>2380.0500000000002</v>
      </c>
      <c r="O623" s="1">
        <f>(ordersTable[[#This Row],[Quantity]]*ordersTable[[#This Row],[UnitPrice]])-ordersTable[[#This Row],[TotalPrice]]</f>
        <v>0</v>
      </c>
    </row>
    <row r="624" spans="1:15" x14ac:dyDescent="0.3">
      <c r="A624" s="1" t="s">
        <v>636</v>
      </c>
      <c r="B624" s="2">
        <v>45598</v>
      </c>
      <c r="C624" s="3" t="s">
        <v>1835</v>
      </c>
      <c r="D624" s="1" t="s">
        <v>2409</v>
      </c>
      <c r="E624" s="5">
        <v>5</v>
      </c>
      <c r="F624" s="4">
        <v>236.38</v>
      </c>
      <c r="G624" s="1" t="s">
        <v>2445</v>
      </c>
      <c r="H624" s="1" t="s">
        <v>3067</v>
      </c>
      <c r="I624" s="1" t="s">
        <v>3072</v>
      </c>
      <c r="J624" s="1" t="s">
        <v>3697</v>
      </c>
      <c r="K624" s="1">
        <v>7</v>
      </c>
      <c r="M624" s="1" t="s">
        <v>4281</v>
      </c>
      <c r="N624" s="1">
        <v>1181.9000000000001</v>
      </c>
      <c r="O624" s="1">
        <f>(ordersTable[[#This Row],[Quantity]]*ordersTable[[#This Row],[UnitPrice]])-ordersTable[[#This Row],[TotalPrice]]</f>
        <v>0</v>
      </c>
    </row>
    <row r="625" spans="1:15" x14ac:dyDescent="0.3">
      <c r="A625" s="1" t="s">
        <v>637</v>
      </c>
      <c r="B625" s="2">
        <v>45093</v>
      </c>
      <c r="C625" s="3" t="s">
        <v>1836</v>
      </c>
      <c r="D625" s="1" t="s">
        <v>2407</v>
      </c>
      <c r="E625" s="5">
        <v>3</v>
      </c>
      <c r="F625" s="4">
        <v>396</v>
      </c>
      <c r="G625" s="1" t="s">
        <v>2847</v>
      </c>
      <c r="H625" s="1" t="s">
        <v>3068</v>
      </c>
      <c r="I625" s="1" t="s">
        <v>3071</v>
      </c>
      <c r="J625" s="1" t="s">
        <v>3698</v>
      </c>
      <c r="K625" s="1">
        <v>4</v>
      </c>
      <c r="L625" s="1" t="s">
        <v>4276</v>
      </c>
      <c r="M625" s="1" t="s">
        <v>4278</v>
      </c>
      <c r="N625" s="1">
        <v>1188</v>
      </c>
      <c r="O625" s="1">
        <f>(ordersTable[[#This Row],[Quantity]]*ordersTable[[#This Row],[UnitPrice]])-ordersTable[[#This Row],[TotalPrice]]</f>
        <v>0</v>
      </c>
    </row>
    <row r="626" spans="1:15" x14ac:dyDescent="0.3">
      <c r="A626" s="1" t="s">
        <v>638</v>
      </c>
      <c r="B626" s="2">
        <v>45307</v>
      </c>
      <c r="C626" s="3" t="s">
        <v>1837</v>
      </c>
      <c r="D626" s="1" t="s">
        <v>2405</v>
      </c>
      <c r="E626" s="5">
        <v>5</v>
      </c>
      <c r="F626" s="4">
        <v>341.96</v>
      </c>
      <c r="G626" s="1" t="s">
        <v>2710</v>
      </c>
      <c r="H626" s="1" t="s">
        <v>3065</v>
      </c>
      <c r="I626" s="1" t="s">
        <v>3073</v>
      </c>
      <c r="J626" s="1" t="s">
        <v>3699</v>
      </c>
      <c r="K626" s="1">
        <v>6</v>
      </c>
      <c r="M626" s="1" t="s">
        <v>4280</v>
      </c>
      <c r="N626" s="1">
        <v>1709.8</v>
      </c>
      <c r="O626" s="1">
        <f>(ordersTable[[#This Row],[Quantity]]*ordersTable[[#This Row],[UnitPrice]])-ordersTable[[#This Row],[TotalPrice]]</f>
        <v>0</v>
      </c>
    </row>
    <row r="627" spans="1:15" x14ac:dyDescent="0.3">
      <c r="A627" s="1" t="s">
        <v>639</v>
      </c>
      <c r="B627" s="2">
        <v>45193</v>
      </c>
      <c r="C627" s="3" t="s">
        <v>1838</v>
      </c>
      <c r="D627" s="1" t="s">
        <v>2405</v>
      </c>
      <c r="E627" s="5">
        <v>1</v>
      </c>
      <c r="F627" s="4">
        <v>672.89</v>
      </c>
      <c r="G627" s="1" t="s">
        <v>2848</v>
      </c>
      <c r="H627" s="1" t="s">
        <v>3067</v>
      </c>
      <c r="I627" s="1" t="s">
        <v>3074</v>
      </c>
      <c r="J627" s="1" t="s">
        <v>3700</v>
      </c>
      <c r="K627" s="1">
        <v>1</v>
      </c>
      <c r="L627" s="1" t="s">
        <v>4277</v>
      </c>
      <c r="M627" s="1" t="s">
        <v>4280</v>
      </c>
      <c r="N627" s="1">
        <v>672.89</v>
      </c>
      <c r="O627" s="1">
        <f>(ordersTable[[#This Row],[Quantity]]*ordersTable[[#This Row],[UnitPrice]])-ordersTable[[#This Row],[TotalPrice]]</f>
        <v>0</v>
      </c>
    </row>
    <row r="628" spans="1:15" x14ac:dyDescent="0.3">
      <c r="A628" s="1" t="s">
        <v>640</v>
      </c>
      <c r="B628" s="2">
        <v>45352</v>
      </c>
      <c r="C628" s="3" t="s">
        <v>1839</v>
      </c>
      <c r="D628" s="1" t="s">
        <v>2405</v>
      </c>
      <c r="E628" s="5">
        <v>2</v>
      </c>
      <c r="F628" s="4">
        <v>657.48</v>
      </c>
      <c r="G628" s="1" t="s">
        <v>2745</v>
      </c>
      <c r="H628" s="1" t="s">
        <v>3066</v>
      </c>
      <c r="I628" s="1" t="s">
        <v>3070</v>
      </c>
      <c r="J628" s="1" t="s">
        <v>3701</v>
      </c>
      <c r="K628" s="1">
        <v>5</v>
      </c>
      <c r="L628" s="1" t="s">
        <v>4275</v>
      </c>
      <c r="M628" s="1" t="s">
        <v>4279</v>
      </c>
      <c r="N628" s="1">
        <v>1314.96</v>
      </c>
      <c r="O628" s="1">
        <f>(ordersTable[[#This Row],[Quantity]]*ordersTable[[#This Row],[UnitPrice]])-ordersTable[[#This Row],[TotalPrice]]</f>
        <v>0</v>
      </c>
    </row>
    <row r="629" spans="1:15" x14ac:dyDescent="0.3">
      <c r="A629" s="1" t="s">
        <v>641</v>
      </c>
      <c r="B629" s="2">
        <v>45144</v>
      </c>
      <c r="C629" s="3" t="s">
        <v>1840</v>
      </c>
      <c r="D629" s="1" t="s">
        <v>2406</v>
      </c>
      <c r="E629" s="5">
        <v>3</v>
      </c>
      <c r="F629" s="4">
        <v>498.68</v>
      </c>
      <c r="G629" s="1" t="s">
        <v>2812</v>
      </c>
      <c r="H629" s="1" t="s">
        <v>3066</v>
      </c>
      <c r="I629" s="1" t="s">
        <v>3072</v>
      </c>
      <c r="J629" s="1" t="s">
        <v>3702</v>
      </c>
      <c r="K629" s="1">
        <v>4</v>
      </c>
      <c r="L629" s="1" t="s">
        <v>4276</v>
      </c>
      <c r="M629" s="1" t="s">
        <v>4280</v>
      </c>
      <c r="N629" s="1">
        <v>1496.04</v>
      </c>
      <c r="O629" s="1">
        <f>(ordersTable[[#This Row],[Quantity]]*ordersTable[[#This Row],[UnitPrice]])-ordersTable[[#This Row],[TotalPrice]]</f>
        <v>0</v>
      </c>
    </row>
    <row r="630" spans="1:15" x14ac:dyDescent="0.3">
      <c r="A630" s="1" t="s">
        <v>642</v>
      </c>
      <c r="B630" s="2">
        <v>45011</v>
      </c>
      <c r="C630" s="3" t="s">
        <v>1841</v>
      </c>
      <c r="D630" s="1" t="s">
        <v>2407</v>
      </c>
      <c r="E630" s="5">
        <v>5</v>
      </c>
      <c r="F630" s="4">
        <v>558.63</v>
      </c>
      <c r="G630" s="1" t="s">
        <v>2849</v>
      </c>
      <c r="H630" s="1" t="s">
        <v>3069</v>
      </c>
      <c r="I630" s="1" t="s">
        <v>3074</v>
      </c>
      <c r="J630" s="1" t="s">
        <v>3703</v>
      </c>
      <c r="K630" s="1">
        <v>8</v>
      </c>
      <c r="L630" s="1" t="s">
        <v>4276</v>
      </c>
      <c r="M630" s="1" t="s">
        <v>4279</v>
      </c>
      <c r="N630" s="1">
        <v>2793.15</v>
      </c>
      <c r="O630" s="1">
        <f>(ordersTable[[#This Row],[Quantity]]*ordersTable[[#This Row],[UnitPrice]])-ordersTable[[#This Row],[TotalPrice]]</f>
        <v>0</v>
      </c>
    </row>
    <row r="631" spans="1:15" x14ac:dyDescent="0.3">
      <c r="A631" s="1" t="s">
        <v>643</v>
      </c>
      <c r="B631" s="2">
        <v>45114</v>
      </c>
      <c r="C631" s="3" t="s">
        <v>1842</v>
      </c>
      <c r="D631" s="1" t="s">
        <v>2404</v>
      </c>
      <c r="E631" s="5">
        <v>3</v>
      </c>
      <c r="F631" s="4">
        <v>19.73</v>
      </c>
      <c r="G631" s="1" t="s">
        <v>2850</v>
      </c>
      <c r="H631" s="1" t="s">
        <v>3066</v>
      </c>
      <c r="I631" s="1" t="s">
        <v>3074</v>
      </c>
      <c r="J631" s="1" t="s">
        <v>3704</v>
      </c>
      <c r="K631" s="1">
        <v>3</v>
      </c>
      <c r="M631" s="1" t="s">
        <v>4279</v>
      </c>
      <c r="N631" s="1">
        <v>59.19</v>
      </c>
      <c r="O631" s="1">
        <f>(ordersTable[[#This Row],[Quantity]]*ordersTable[[#This Row],[UnitPrice]])-ordersTable[[#This Row],[TotalPrice]]</f>
        <v>0</v>
      </c>
    </row>
    <row r="632" spans="1:15" x14ac:dyDescent="0.3">
      <c r="A632" s="1" t="s">
        <v>644</v>
      </c>
      <c r="B632" s="2">
        <v>45100</v>
      </c>
      <c r="C632" s="3" t="s">
        <v>1843</v>
      </c>
      <c r="D632" s="1" t="s">
        <v>2403</v>
      </c>
      <c r="E632" s="5">
        <v>5</v>
      </c>
      <c r="F632" s="4">
        <v>248.84</v>
      </c>
      <c r="G632" s="1" t="s">
        <v>2851</v>
      </c>
      <c r="H632" s="1" t="s">
        <v>3065</v>
      </c>
      <c r="I632" s="1" t="s">
        <v>3071</v>
      </c>
      <c r="J632" s="1" t="s">
        <v>3705</v>
      </c>
      <c r="K632" s="1">
        <v>10</v>
      </c>
      <c r="M632" s="1" t="s">
        <v>4278</v>
      </c>
      <c r="N632" s="1">
        <v>1244.2</v>
      </c>
      <c r="O632" s="1">
        <f>(ordersTable[[#This Row],[Quantity]]*ordersTable[[#This Row],[UnitPrice]])-ordersTable[[#This Row],[TotalPrice]]</f>
        <v>0</v>
      </c>
    </row>
    <row r="633" spans="1:15" x14ac:dyDescent="0.3">
      <c r="A633" s="1" t="s">
        <v>645</v>
      </c>
      <c r="B633" s="2">
        <v>45535</v>
      </c>
      <c r="C633" s="3" t="s">
        <v>1844</v>
      </c>
      <c r="D633" s="1" t="s">
        <v>2406</v>
      </c>
      <c r="E633" s="5">
        <v>3</v>
      </c>
      <c r="F633" s="4">
        <v>46.11</v>
      </c>
      <c r="G633" s="1" t="s">
        <v>2645</v>
      </c>
      <c r="H633" s="1" t="s">
        <v>3068</v>
      </c>
      <c r="I633" s="1" t="s">
        <v>3072</v>
      </c>
      <c r="J633" s="1" t="s">
        <v>3706</v>
      </c>
      <c r="K633" s="1">
        <v>5</v>
      </c>
      <c r="L633" s="1" t="s">
        <v>4277</v>
      </c>
      <c r="M633" s="1" t="s">
        <v>4279</v>
      </c>
      <c r="N633" s="1">
        <v>138.33000000000001</v>
      </c>
      <c r="O633" s="1">
        <f>(ordersTable[[#This Row],[Quantity]]*ordersTable[[#This Row],[UnitPrice]])-ordersTable[[#This Row],[TotalPrice]]</f>
        <v>0</v>
      </c>
    </row>
    <row r="634" spans="1:15" x14ac:dyDescent="0.3">
      <c r="A634" s="1" t="s">
        <v>646</v>
      </c>
      <c r="B634" s="2">
        <v>45048</v>
      </c>
      <c r="C634" s="3" t="s">
        <v>1845</v>
      </c>
      <c r="D634" s="1" t="s">
        <v>2408</v>
      </c>
      <c r="E634" s="5">
        <v>5</v>
      </c>
      <c r="F634" s="4">
        <v>678.16</v>
      </c>
      <c r="G634" s="1" t="s">
        <v>2629</v>
      </c>
      <c r="H634" s="1" t="s">
        <v>3068</v>
      </c>
      <c r="I634" s="1" t="s">
        <v>3073</v>
      </c>
      <c r="J634" s="1" t="s">
        <v>3707</v>
      </c>
      <c r="K634" s="1">
        <v>7</v>
      </c>
      <c r="L634" s="1" t="s">
        <v>4277</v>
      </c>
      <c r="M634" s="1" t="s">
        <v>4281</v>
      </c>
      <c r="N634" s="1">
        <v>3390.8</v>
      </c>
      <c r="O634" s="1">
        <f>(ordersTable[[#This Row],[Quantity]]*ordersTable[[#This Row],[UnitPrice]])-ordersTable[[#This Row],[TotalPrice]]</f>
        <v>0</v>
      </c>
    </row>
    <row r="635" spans="1:15" x14ac:dyDescent="0.3">
      <c r="A635" s="1" t="s">
        <v>647</v>
      </c>
      <c r="B635" s="2">
        <v>45392</v>
      </c>
      <c r="C635" s="3" t="s">
        <v>1846</v>
      </c>
      <c r="D635" s="1" t="s">
        <v>2408</v>
      </c>
      <c r="E635" s="5">
        <v>5</v>
      </c>
      <c r="F635" s="4">
        <v>601.72</v>
      </c>
      <c r="G635" s="1" t="s">
        <v>2728</v>
      </c>
      <c r="H635" s="1" t="s">
        <v>3068</v>
      </c>
      <c r="I635" s="1" t="s">
        <v>3071</v>
      </c>
      <c r="J635" s="1" t="s">
        <v>3708</v>
      </c>
      <c r="K635" s="1">
        <v>5</v>
      </c>
      <c r="L635" s="1" t="s">
        <v>4277</v>
      </c>
      <c r="M635" s="1" t="s">
        <v>4278</v>
      </c>
      <c r="N635" s="1">
        <v>3008.6</v>
      </c>
      <c r="O635" s="1">
        <f>(ordersTable[[#This Row],[Quantity]]*ordersTable[[#This Row],[UnitPrice]])-ordersTable[[#This Row],[TotalPrice]]</f>
        <v>0</v>
      </c>
    </row>
    <row r="636" spans="1:15" x14ac:dyDescent="0.3">
      <c r="A636" s="1" t="s">
        <v>648</v>
      </c>
      <c r="B636" s="2">
        <v>45407</v>
      </c>
      <c r="C636" s="3" t="s">
        <v>1847</v>
      </c>
      <c r="D636" s="1" t="s">
        <v>2407</v>
      </c>
      <c r="E636" s="5">
        <v>2</v>
      </c>
      <c r="F636" s="4">
        <v>259.32</v>
      </c>
      <c r="G636" s="1" t="s">
        <v>2852</v>
      </c>
      <c r="H636" s="1" t="s">
        <v>3068</v>
      </c>
      <c r="I636" s="1" t="s">
        <v>3073</v>
      </c>
      <c r="J636" s="1" t="s">
        <v>3709</v>
      </c>
      <c r="K636" s="1">
        <v>2</v>
      </c>
      <c r="L636" s="1" t="s">
        <v>4277</v>
      </c>
      <c r="M636" s="1" t="s">
        <v>4279</v>
      </c>
      <c r="N636" s="1">
        <v>518.64</v>
      </c>
      <c r="O636" s="1">
        <f>(ordersTable[[#This Row],[Quantity]]*ordersTable[[#This Row],[UnitPrice]])-ordersTable[[#This Row],[TotalPrice]]</f>
        <v>0</v>
      </c>
    </row>
    <row r="637" spans="1:15" x14ac:dyDescent="0.3">
      <c r="A637" s="1" t="s">
        <v>649</v>
      </c>
      <c r="B637" s="2">
        <v>45273</v>
      </c>
      <c r="C637" s="3" t="s">
        <v>1848</v>
      </c>
      <c r="D637" s="1" t="s">
        <v>2406</v>
      </c>
      <c r="E637" s="5">
        <v>3</v>
      </c>
      <c r="F637" s="4">
        <v>63.68</v>
      </c>
      <c r="G637" s="1" t="s">
        <v>2458</v>
      </c>
      <c r="H637" s="1" t="s">
        <v>3069</v>
      </c>
      <c r="I637" s="1" t="s">
        <v>3072</v>
      </c>
      <c r="J637" s="1" t="s">
        <v>3710</v>
      </c>
      <c r="K637" s="1">
        <v>6</v>
      </c>
      <c r="M637" s="1" t="s">
        <v>4281</v>
      </c>
      <c r="N637" s="1">
        <v>191.04</v>
      </c>
      <c r="O637" s="1">
        <f>(ordersTable[[#This Row],[Quantity]]*ordersTable[[#This Row],[UnitPrice]])-ordersTable[[#This Row],[TotalPrice]]</f>
        <v>0</v>
      </c>
    </row>
    <row r="638" spans="1:15" x14ac:dyDescent="0.3">
      <c r="A638" s="1" t="s">
        <v>650</v>
      </c>
      <c r="B638" s="2">
        <v>45204</v>
      </c>
      <c r="C638" s="3" t="s">
        <v>1849</v>
      </c>
      <c r="D638" s="1" t="s">
        <v>2408</v>
      </c>
      <c r="E638" s="5">
        <v>4</v>
      </c>
      <c r="F638" s="4">
        <v>371.07</v>
      </c>
      <c r="G638" s="1" t="s">
        <v>2564</v>
      </c>
      <c r="H638" s="1" t="s">
        <v>3069</v>
      </c>
      <c r="I638" s="1" t="s">
        <v>3071</v>
      </c>
      <c r="J638" s="1" t="s">
        <v>3711</v>
      </c>
      <c r="K638" s="1">
        <v>7</v>
      </c>
      <c r="L638" s="1" t="s">
        <v>4277</v>
      </c>
      <c r="M638" s="1" t="s">
        <v>4281</v>
      </c>
      <c r="N638" s="1">
        <v>1484.28</v>
      </c>
      <c r="O638" s="1">
        <f>(ordersTable[[#This Row],[Quantity]]*ordersTable[[#This Row],[UnitPrice]])-ordersTable[[#This Row],[TotalPrice]]</f>
        <v>0</v>
      </c>
    </row>
    <row r="639" spans="1:15" x14ac:dyDescent="0.3">
      <c r="A639" s="1" t="s">
        <v>651</v>
      </c>
      <c r="B639" s="2">
        <v>45564</v>
      </c>
      <c r="C639" s="3" t="s">
        <v>1850</v>
      </c>
      <c r="D639" s="1" t="s">
        <v>2406</v>
      </c>
      <c r="E639" s="5">
        <v>4</v>
      </c>
      <c r="F639" s="4">
        <v>306.35000000000002</v>
      </c>
      <c r="G639" s="1" t="s">
        <v>2853</v>
      </c>
      <c r="H639" s="1" t="s">
        <v>3068</v>
      </c>
      <c r="I639" s="1" t="s">
        <v>3070</v>
      </c>
      <c r="J639" s="1" t="s">
        <v>3712</v>
      </c>
      <c r="K639" s="1">
        <v>7</v>
      </c>
      <c r="L639" s="1" t="s">
        <v>4277</v>
      </c>
      <c r="M639" s="1" t="s">
        <v>4279</v>
      </c>
      <c r="N639" s="1">
        <v>1225.4000000000001</v>
      </c>
      <c r="O639" s="1">
        <f>(ordersTable[[#This Row],[Quantity]]*ordersTable[[#This Row],[UnitPrice]])-ordersTable[[#This Row],[TotalPrice]]</f>
        <v>0</v>
      </c>
    </row>
    <row r="640" spans="1:15" x14ac:dyDescent="0.3">
      <c r="A640" s="1" t="s">
        <v>652</v>
      </c>
      <c r="B640" s="2">
        <v>45214</v>
      </c>
      <c r="C640" s="3" t="s">
        <v>1851</v>
      </c>
      <c r="D640" s="1" t="s">
        <v>2405</v>
      </c>
      <c r="E640" s="5">
        <v>4</v>
      </c>
      <c r="F640" s="4">
        <v>578.27</v>
      </c>
      <c r="G640" s="1" t="s">
        <v>2854</v>
      </c>
      <c r="H640" s="1" t="s">
        <v>3066</v>
      </c>
      <c r="I640" s="1" t="s">
        <v>3073</v>
      </c>
      <c r="J640" s="1" t="s">
        <v>3713</v>
      </c>
      <c r="K640" s="1">
        <v>9</v>
      </c>
      <c r="L640" s="1" t="s">
        <v>4277</v>
      </c>
      <c r="M640" s="1" t="s">
        <v>4280</v>
      </c>
      <c r="N640" s="1">
        <v>2313.08</v>
      </c>
      <c r="O640" s="1">
        <f>(ordersTable[[#This Row],[Quantity]]*ordersTable[[#This Row],[UnitPrice]])-ordersTable[[#This Row],[TotalPrice]]</f>
        <v>0</v>
      </c>
    </row>
    <row r="641" spans="1:15" x14ac:dyDescent="0.3">
      <c r="A641" s="1" t="s">
        <v>653</v>
      </c>
      <c r="B641" s="2">
        <v>44946</v>
      </c>
      <c r="C641" s="3" t="s">
        <v>1852</v>
      </c>
      <c r="D641" s="1" t="s">
        <v>2406</v>
      </c>
      <c r="E641" s="5">
        <v>1</v>
      </c>
      <c r="F641" s="4">
        <v>529.19000000000005</v>
      </c>
      <c r="G641" s="1" t="s">
        <v>2772</v>
      </c>
      <c r="H641" s="1" t="s">
        <v>3069</v>
      </c>
      <c r="I641" s="1" t="s">
        <v>3071</v>
      </c>
      <c r="J641" s="1" t="s">
        <v>3714</v>
      </c>
      <c r="K641" s="1">
        <v>5</v>
      </c>
      <c r="M641" s="1" t="s">
        <v>4279</v>
      </c>
      <c r="N641" s="1">
        <v>529.19000000000005</v>
      </c>
      <c r="O641" s="1">
        <f>(ordersTable[[#This Row],[Quantity]]*ordersTable[[#This Row],[UnitPrice]])-ordersTable[[#This Row],[TotalPrice]]</f>
        <v>0</v>
      </c>
    </row>
    <row r="642" spans="1:15" x14ac:dyDescent="0.3">
      <c r="A642" s="1" t="s">
        <v>654</v>
      </c>
      <c r="B642" s="2">
        <v>45349</v>
      </c>
      <c r="C642" s="3" t="s">
        <v>1853</v>
      </c>
      <c r="D642" s="1" t="s">
        <v>2406</v>
      </c>
      <c r="E642" s="5">
        <v>2</v>
      </c>
      <c r="F642" s="4">
        <v>587.49</v>
      </c>
      <c r="G642" s="1" t="s">
        <v>2507</v>
      </c>
      <c r="H642" s="1" t="s">
        <v>3068</v>
      </c>
      <c r="I642" s="1" t="s">
        <v>3072</v>
      </c>
      <c r="J642" s="1" t="s">
        <v>3715</v>
      </c>
      <c r="K642" s="1">
        <v>6</v>
      </c>
      <c r="L642" s="1" t="s">
        <v>4275</v>
      </c>
      <c r="M642" s="1" t="s">
        <v>4279</v>
      </c>
      <c r="N642" s="1">
        <v>1174.98</v>
      </c>
      <c r="O642" s="1">
        <f>(ordersTable[[#This Row],[Quantity]]*ordersTable[[#This Row],[UnitPrice]])-ordersTable[[#This Row],[TotalPrice]]</f>
        <v>0</v>
      </c>
    </row>
    <row r="643" spans="1:15" x14ac:dyDescent="0.3">
      <c r="A643" s="1" t="s">
        <v>655</v>
      </c>
      <c r="B643" s="2">
        <v>45473</v>
      </c>
      <c r="C643" s="3" t="s">
        <v>1854</v>
      </c>
      <c r="D643" s="1" t="s">
        <v>2407</v>
      </c>
      <c r="E643" s="5">
        <v>4</v>
      </c>
      <c r="F643" s="4">
        <v>567.57000000000005</v>
      </c>
      <c r="G643" s="1" t="s">
        <v>2627</v>
      </c>
      <c r="H643" s="1" t="s">
        <v>3065</v>
      </c>
      <c r="I643" s="1" t="s">
        <v>3074</v>
      </c>
      <c r="J643" s="1" t="s">
        <v>3716</v>
      </c>
      <c r="K643" s="1">
        <v>9</v>
      </c>
      <c r="L643" s="1" t="s">
        <v>4277</v>
      </c>
      <c r="M643" s="1" t="s">
        <v>4282</v>
      </c>
      <c r="N643" s="1">
        <v>2270.2800000000002</v>
      </c>
      <c r="O643" s="1">
        <f>(ordersTable[[#This Row],[Quantity]]*ordersTable[[#This Row],[UnitPrice]])-ordersTable[[#This Row],[TotalPrice]]</f>
        <v>0</v>
      </c>
    </row>
    <row r="644" spans="1:15" x14ac:dyDescent="0.3">
      <c r="A644" s="1" t="s">
        <v>656</v>
      </c>
      <c r="B644" s="2">
        <v>45411</v>
      </c>
      <c r="C644" s="3" t="s">
        <v>1855</v>
      </c>
      <c r="D644" s="1" t="s">
        <v>2406</v>
      </c>
      <c r="E644" s="5">
        <v>5</v>
      </c>
      <c r="F644" s="4">
        <v>85.22</v>
      </c>
      <c r="G644" s="1" t="s">
        <v>2855</v>
      </c>
      <c r="H644" s="1" t="s">
        <v>3067</v>
      </c>
      <c r="I644" s="1" t="s">
        <v>3071</v>
      </c>
      <c r="J644" s="1" t="s">
        <v>3717</v>
      </c>
      <c r="K644" s="1">
        <v>7</v>
      </c>
      <c r="L644" s="1" t="s">
        <v>4276</v>
      </c>
      <c r="M644" s="1" t="s">
        <v>4280</v>
      </c>
      <c r="N644" s="1">
        <v>426.1</v>
      </c>
      <c r="O644" s="1">
        <f>(ordersTable[[#This Row],[Quantity]]*ordersTable[[#This Row],[UnitPrice]])-ordersTable[[#This Row],[TotalPrice]]</f>
        <v>0</v>
      </c>
    </row>
    <row r="645" spans="1:15" x14ac:dyDescent="0.3">
      <c r="A645" s="1" t="s">
        <v>657</v>
      </c>
      <c r="B645" s="2">
        <v>45530</v>
      </c>
      <c r="C645" s="3" t="s">
        <v>1856</v>
      </c>
      <c r="D645" s="1" t="s">
        <v>2408</v>
      </c>
      <c r="E645" s="5">
        <v>1</v>
      </c>
      <c r="F645" s="4">
        <v>438.37</v>
      </c>
      <c r="G645" s="1" t="s">
        <v>2507</v>
      </c>
      <c r="H645" s="1" t="s">
        <v>3069</v>
      </c>
      <c r="I645" s="1" t="s">
        <v>3071</v>
      </c>
      <c r="J645" s="1" t="s">
        <v>3718</v>
      </c>
      <c r="K645" s="1">
        <v>4</v>
      </c>
      <c r="L645" s="1" t="s">
        <v>4275</v>
      </c>
      <c r="M645" s="1" t="s">
        <v>4279</v>
      </c>
      <c r="N645" s="1">
        <v>438.37</v>
      </c>
      <c r="O645" s="1">
        <f>(ordersTable[[#This Row],[Quantity]]*ordersTable[[#This Row],[UnitPrice]])-ordersTable[[#This Row],[TotalPrice]]</f>
        <v>0</v>
      </c>
    </row>
    <row r="646" spans="1:15" x14ac:dyDescent="0.3">
      <c r="A646" s="1" t="s">
        <v>658</v>
      </c>
      <c r="B646" s="2">
        <v>45245</v>
      </c>
      <c r="C646" s="3" t="s">
        <v>1857</v>
      </c>
      <c r="D646" s="1" t="s">
        <v>2406</v>
      </c>
      <c r="E646" s="5">
        <v>2</v>
      </c>
      <c r="F646" s="4">
        <v>366.23</v>
      </c>
      <c r="G646" s="1" t="s">
        <v>2856</v>
      </c>
      <c r="H646" s="1" t="s">
        <v>3069</v>
      </c>
      <c r="I646" s="1" t="s">
        <v>3070</v>
      </c>
      <c r="J646" s="1" t="s">
        <v>3719</v>
      </c>
      <c r="K646" s="1">
        <v>2</v>
      </c>
      <c r="L646" s="1" t="s">
        <v>4277</v>
      </c>
      <c r="M646" s="1" t="s">
        <v>4280</v>
      </c>
      <c r="N646" s="1">
        <v>732.46</v>
      </c>
      <c r="O646" s="1">
        <f>(ordersTable[[#This Row],[Quantity]]*ordersTable[[#This Row],[UnitPrice]])-ordersTable[[#This Row],[TotalPrice]]</f>
        <v>0</v>
      </c>
    </row>
    <row r="647" spans="1:15" x14ac:dyDescent="0.3">
      <c r="A647" s="1" t="s">
        <v>659</v>
      </c>
      <c r="B647" s="2">
        <v>44928</v>
      </c>
      <c r="C647" s="3" t="s">
        <v>1858</v>
      </c>
      <c r="D647" s="1" t="s">
        <v>2408</v>
      </c>
      <c r="E647" s="5">
        <v>2</v>
      </c>
      <c r="F647" s="4">
        <v>150.05000000000001</v>
      </c>
      <c r="G647" s="1" t="s">
        <v>2525</v>
      </c>
      <c r="H647" s="1" t="s">
        <v>3067</v>
      </c>
      <c r="I647" s="1" t="s">
        <v>3071</v>
      </c>
      <c r="J647" s="1" t="s">
        <v>3720</v>
      </c>
      <c r="K647" s="1">
        <v>4</v>
      </c>
      <c r="L647" s="1" t="s">
        <v>4275</v>
      </c>
      <c r="M647" s="1" t="s">
        <v>4281</v>
      </c>
      <c r="N647" s="1">
        <v>300.10000000000002</v>
      </c>
      <c r="O647" s="1">
        <f>(ordersTable[[#This Row],[Quantity]]*ordersTable[[#This Row],[UnitPrice]])-ordersTable[[#This Row],[TotalPrice]]</f>
        <v>0</v>
      </c>
    </row>
    <row r="648" spans="1:15" x14ac:dyDescent="0.3">
      <c r="A648" s="1" t="s">
        <v>660</v>
      </c>
      <c r="B648" s="2">
        <v>45226</v>
      </c>
      <c r="C648" s="3" t="s">
        <v>1859</v>
      </c>
      <c r="D648" s="1" t="s">
        <v>2406</v>
      </c>
      <c r="E648" s="5">
        <v>4</v>
      </c>
      <c r="F648" s="4">
        <v>498.51</v>
      </c>
      <c r="G648" s="1" t="s">
        <v>2857</v>
      </c>
      <c r="H648" s="1" t="s">
        <v>3065</v>
      </c>
      <c r="I648" s="1" t="s">
        <v>3070</v>
      </c>
      <c r="J648" s="1" t="s">
        <v>3721</v>
      </c>
      <c r="K648" s="1">
        <v>4</v>
      </c>
      <c r="L648" s="1" t="s">
        <v>4275</v>
      </c>
      <c r="M648" s="1" t="s">
        <v>4282</v>
      </c>
      <c r="N648" s="1">
        <v>1994.04</v>
      </c>
      <c r="O648" s="1">
        <f>(ordersTable[[#This Row],[Quantity]]*ordersTable[[#This Row],[UnitPrice]])-ordersTable[[#This Row],[TotalPrice]]</f>
        <v>0</v>
      </c>
    </row>
    <row r="649" spans="1:15" x14ac:dyDescent="0.3">
      <c r="A649" s="1" t="s">
        <v>661</v>
      </c>
      <c r="B649" s="2">
        <v>45771</v>
      </c>
      <c r="C649" s="3" t="s">
        <v>1860</v>
      </c>
      <c r="D649" s="1" t="s">
        <v>2409</v>
      </c>
      <c r="E649" s="5">
        <v>3</v>
      </c>
      <c r="F649" s="4">
        <v>339.39</v>
      </c>
      <c r="G649" s="1" t="s">
        <v>2558</v>
      </c>
      <c r="H649" s="1" t="s">
        <v>3069</v>
      </c>
      <c r="I649" s="1" t="s">
        <v>3072</v>
      </c>
      <c r="J649" s="1" t="s">
        <v>3722</v>
      </c>
      <c r="K649" s="1">
        <v>7</v>
      </c>
      <c r="L649" s="1" t="s">
        <v>4276</v>
      </c>
      <c r="M649" s="1" t="s">
        <v>4282</v>
      </c>
      <c r="N649" s="1">
        <v>1018.17</v>
      </c>
      <c r="O649" s="1">
        <f>(ordersTable[[#This Row],[Quantity]]*ordersTable[[#This Row],[UnitPrice]])-ordersTable[[#This Row],[TotalPrice]]</f>
        <v>0</v>
      </c>
    </row>
    <row r="650" spans="1:15" x14ac:dyDescent="0.3">
      <c r="A650" s="1" t="s">
        <v>662</v>
      </c>
      <c r="B650" s="2">
        <v>45675</v>
      </c>
      <c r="C650" s="3" t="s">
        <v>1861</v>
      </c>
      <c r="D650" s="1" t="s">
        <v>2403</v>
      </c>
      <c r="E650" s="5">
        <v>2</v>
      </c>
      <c r="F650" s="4">
        <v>575.83000000000004</v>
      </c>
      <c r="G650" s="1" t="s">
        <v>2858</v>
      </c>
      <c r="H650" s="1" t="s">
        <v>3066</v>
      </c>
      <c r="I650" s="1" t="s">
        <v>3073</v>
      </c>
      <c r="J650" s="1" t="s">
        <v>3723</v>
      </c>
      <c r="K650" s="1">
        <v>3</v>
      </c>
      <c r="L650" s="1" t="s">
        <v>4277</v>
      </c>
      <c r="M650" s="1" t="s">
        <v>4279</v>
      </c>
      <c r="N650" s="1">
        <v>1151.6600000000001</v>
      </c>
      <c r="O650" s="1">
        <f>(ordersTable[[#This Row],[Quantity]]*ordersTable[[#This Row],[UnitPrice]])-ordersTable[[#This Row],[TotalPrice]]</f>
        <v>0</v>
      </c>
    </row>
    <row r="651" spans="1:15" x14ac:dyDescent="0.3">
      <c r="A651" s="1" t="s">
        <v>663</v>
      </c>
      <c r="B651" s="2">
        <v>45283</v>
      </c>
      <c r="C651" s="3" t="s">
        <v>1862</v>
      </c>
      <c r="D651" s="1" t="s">
        <v>2403</v>
      </c>
      <c r="E651" s="5">
        <v>2</v>
      </c>
      <c r="F651" s="4">
        <v>642.98</v>
      </c>
      <c r="G651" s="1" t="s">
        <v>2632</v>
      </c>
      <c r="H651" s="1" t="s">
        <v>3065</v>
      </c>
      <c r="I651" s="1" t="s">
        <v>3072</v>
      </c>
      <c r="J651" s="1" t="s">
        <v>3724</v>
      </c>
      <c r="K651" s="1">
        <v>7</v>
      </c>
      <c r="L651" s="1" t="s">
        <v>4276</v>
      </c>
      <c r="M651" s="1" t="s">
        <v>4280</v>
      </c>
      <c r="N651" s="1">
        <v>1285.96</v>
      </c>
      <c r="O651" s="1">
        <f>(ordersTable[[#This Row],[Quantity]]*ordersTable[[#This Row],[UnitPrice]])-ordersTable[[#This Row],[TotalPrice]]</f>
        <v>0</v>
      </c>
    </row>
    <row r="652" spans="1:15" x14ac:dyDescent="0.3">
      <c r="A652" s="1" t="s">
        <v>664</v>
      </c>
      <c r="B652" s="2">
        <v>45064</v>
      </c>
      <c r="C652" s="3" t="s">
        <v>1863</v>
      </c>
      <c r="D652" s="1" t="s">
        <v>2409</v>
      </c>
      <c r="E652" s="5">
        <v>2</v>
      </c>
      <c r="F652" s="4">
        <v>372.23</v>
      </c>
      <c r="G652" s="1" t="s">
        <v>2859</v>
      </c>
      <c r="H652" s="1" t="s">
        <v>3068</v>
      </c>
      <c r="I652" s="1" t="s">
        <v>3073</v>
      </c>
      <c r="J652" s="1" t="s">
        <v>3725</v>
      </c>
      <c r="K652" s="1">
        <v>7</v>
      </c>
      <c r="L652" s="1" t="s">
        <v>4275</v>
      </c>
      <c r="M652" s="1" t="s">
        <v>4280</v>
      </c>
      <c r="N652" s="1">
        <v>744.46</v>
      </c>
      <c r="O652" s="1">
        <f>(ordersTable[[#This Row],[Quantity]]*ordersTable[[#This Row],[UnitPrice]])-ordersTable[[#This Row],[TotalPrice]]</f>
        <v>0</v>
      </c>
    </row>
    <row r="653" spans="1:15" x14ac:dyDescent="0.3">
      <c r="A653" s="1" t="s">
        <v>665</v>
      </c>
      <c r="B653" s="2">
        <v>45608</v>
      </c>
      <c r="C653" s="3" t="s">
        <v>1864</v>
      </c>
      <c r="D653" s="1" t="s">
        <v>2406</v>
      </c>
      <c r="E653" s="5">
        <v>3</v>
      </c>
      <c r="F653" s="4">
        <v>646.34</v>
      </c>
      <c r="G653" s="1" t="s">
        <v>2584</v>
      </c>
      <c r="H653" s="1" t="s">
        <v>3065</v>
      </c>
      <c r="I653" s="1" t="s">
        <v>3074</v>
      </c>
      <c r="J653" s="1" t="s">
        <v>3726</v>
      </c>
      <c r="K653" s="1">
        <v>5</v>
      </c>
      <c r="M653" s="1" t="s">
        <v>4282</v>
      </c>
      <c r="N653" s="1">
        <v>1939.02</v>
      </c>
      <c r="O653" s="1">
        <f>(ordersTable[[#This Row],[Quantity]]*ordersTable[[#This Row],[UnitPrice]])-ordersTable[[#This Row],[TotalPrice]]</f>
        <v>0</v>
      </c>
    </row>
    <row r="654" spans="1:15" x14ac:dyDescent="0.3">
      <c r="A654" s="1" t="s">
        <v>666</v>
      </c>
      <c r="B654" s="2">
        <v>45448</v>
      </c>
      <c r="C654" s="3" t="s">
        <v>1865</v>
      </c>
      <c r="D654" s="1" t="s">
        <v>2406</v>
      </c>
      <c r="E654" s="5">
        <v>5</v>
      </c>
      <c r="F654" s="4">
        <v>341.84</v>
      </c>
      <c r="G654" s="1" t="s">
        <v>2860</v>
      </c>
      <c r="H654" s="1" t="s">
        <v>3066</v>
      </c>
      <c r="I654" s="1" t="s">
        <v>3070</v>
      </c>
      <c r="J654" s="1" t="s">
        <v>3727</v>
      </c>
      <c r="K654" s="1">
        <v>8</v>
      </c>
      <c r="L654" s="1" t="s">
        <v>4276</v>
      </c>
      <c r="M654" s="1" t="s">
        <v>4278</v>
      </c>
      <c r="N654" s="1">
        <v>1709.2</v>
      </c>
      <c r="O654" s="1">
        <f>(ordersTable[[#This Row],[Quantity]]*ordersTable[[#This Row],[UnitPrice]])-ordersTable[[#This Row],[TotalPrice]]</f>
        <v>0</v>
      </c>
    </row>
    <row r="655" spans="1:15" x14ac:dyDescent="0.3">
      <c r="A655" s="1" t="s">
        <v>667</v>
      </c>
      <c r="B655" s="2">
        <v>45347</v>
      </c>
      <c r="C655" s="3" t="s">
        <v>1866</v>
      </c>
      <c r="D655" s="1" t="s">
        <v>2407</v>
      </c>
      <c r="E655" s="5">
        <v>3</v>
      </c>
      <c r="F655" s="4">
        <v>690.3</v>
      </c>
      <c r="G655" s="1" t="s">
        <v>2710</v>
      </c>
      <c r="H655" s="1" t="s">
        <v>3067</v>
      </c>
      <c r="I655" s="1" t="s">
        <v>3070</v>
      </c>
      <c r="J655" s="1" t="s">
        <v>3728</v>
      </c>
      <c r="K655" s="1">
        <v>6</v>
      </c>
      <c r="L655" s="1" t="s">
        <v>4277</v>
      </c>
      <c r="M655" s="1" t="s">
        <v>4282</v>
      </c>
      <c r="N655" s="1">
        <v>2070.9</v>
      </c>
      <c r="O655" s="1">
        <f>(ordersTable[[#This Row],[Quantity]]*ordersTable[[#This Row],[UnitPrice]])-ordersTable[[#This Row],[TotalPrice]]</f>
        <v>0</v>
      </c>
    </row>
    <row r="656" spans="1:15" x14ac:dyDescent="0.3">
      <c r="A656" s="1" t="s">
        <v>668</v>
      </c>
      <c r="B656" s="2">
        <v>45089</v>
      </c>
      <c r="C656" s="3" t="s">
        <v>1867</v>
      </c>
      <c r="D656" s="1" t="s">
        <v>2405</v>
      </c>
      <c r="E656" s="5">
        <v>3</v>
      </c>
      <c r="F656" s="4">
        <v>382.37</v>
      </c>
      <c r="G656" s="1" t="s">
        <v>2861</v>
      </c>
      <c r="H656" s="1" t="s">
        <v>3065</v>
      </c>
      <c r="I656" s="1" t="s">
        <v>3072</v>
      </c>
      <c r="J656" s="1" t="s">
        <v>3729</v>
      </c>
      <c r="K656" s="1">
        <v>8</v>
      </c>
      <c r="M656" s="1" t="s">
        <v>4278</v>
      </c>
      <c r="N656" s="1">
        <v>1147.1099999999999</v>
      </c>
      <c r="O656" s="1">
        <f>(ordersTable[[#This Row],[Quantity]]*ordersTable[[#This Row],[UnitPrice]])-ordersTable[[#This Row],[TotalPrice]]</f>
        <v>0</v>
      </c>
    </row>
    <row r="657" spans="1:15" x14ac:dyDescent="0.3">
      <c r="A657" s="1" t="s">
        <v>669</v>
      </c>
      <c r="B657" s="2">
        <v>44999</v>
      </c>
      <c r="C657" s="3" t="s">
        <v>1868</v>
      </c>
      <c r="D657" s="1" t="s">
        <v>2406</v>
      </c>
      <c r="E657" s="5">
        <v>2</v>
      </c>
      <c r="F657" s="4">
        <v>132.6</v>
      </c>
      <c r="G657" s="1" t="s">
        <v>2758</v>
      </c>
      <c r="H657" s="1" t="s">
        <v>3065</v>
      </c>
      <c r="I657" s="1" t="s">
        <v>3071</v>
      </c>
      <c r="J657" s="1" t="s">
        <v>3730</v>
      </c>
      <c r="K657" s="1">
        <v>4</v>
      </c>
      <c r="L657" s="1" t="s">
        <v>4277</v>
      </c>
      <c r="M657" s="1" t="s">
        <v>4280</v>
      </c>
      <c r="N657" s="1">
        <v>265.2</v>
      </c>
      <c r="O657" s="1">
        <f>(ordersTable[[#This Row],[Quantity]]*ordersTable[[#This Row],[UnitPrice]])-ordersTable[[#This Row],[TotalPrice]]</f>
        <v>0</v>
      </c>
    </row>
    <row r="658" spans="1:15" x14ac:dyDescent="0.3">
      <c r="A658" s="1" t="s">
        <v>670</v>
      </c>
      <c r="B658" s="2">
        <v>45309</v>
      </c>
      <c r="C658" s="3" t="s">
        <v>1869</v>
      </c>
      <c r="D658" s="1" t="s">
        <v>2403</v>
      </c>
      <c r="E658" s="5">
        <v>2</v>
      </c>
      <c r="F658" s="4">
        <v>189.06</v>
      </c>
      <c r="G658" s="1" t="s">
        <v>2862</v>
      </c>
      <c r="H658" s="1" t="s">
        <v>3068</v>
      </c>
      <c r="I658" s="1" t="s">
        <v>3070</v>
      </c>
      <c r="J658" s="1" t="s">
        <v>3731</v>
      </c>
      <c r="K658" s="1">
        <v>7</v>
      </c>
      <c r="L658" s="1" t="s">
        <v>4275</v>
      </c>
      <c r="M658" s="1" t="s">
        <v>4281</v>
      </c>
      <c r="N658" s="1">
        <v>378.12</v>
      </c>
      <c r="O658" s="1">
        <f>(ordersTable[[#This Row],[Quantity]]*ordersTable[[#This Row],[UnitPrice]])-ordersTable[[#This Row],[TotalPrice]]</f>
        <v>0</v>
      </c>
    </row>
    <row r="659" spans="1:15" x14ac:dyDescent="0.3">
      <c r="A659" s="1" t="s">
        <v>671</v>
      </c>
      <c r="B659" s="2">
        <v>45284</v>
      </c>
      <c r="C659" s="3" t="s">
        <v>1870</v>
      </c>
      <c r="D659" s="1" t="s">
        <v>2405</v>
      </c>
      <c r="E659" s="5">
        <v>4</v>
      </c>
      <c r="F659" s="4">
        <v>87.79</v>
      </c>
      <c r="G659" s="1" t="s">
        <v>2685</v>
      </c>
      <c r="H659" s="1" t="s">
        <v>3069</v>
      </c>
      <c r="I659" s="1" t="s">
        <v>3071</v>
      </c>
      <c r="J659" s="1" t="s">
        <v>3732</v>
      </c>
      <c r="K659" s="1">
        <v>6</v>
      </c>
      <c r="L659" s="1" t="s">
        <v>4276</v>
      </c>
      <c r="M659" s="1" t="s">
        <v>4278</v>
      </c>
      <c r="N659" s="1">
        <v>351.16</v>
      </c>
      <c r="O659" s="1">
        <f>(ordersTable[[#This Row],[Quantity]]*ordersTable[[#This Row],[UnitPrice]])-ordersTable[[#This Row],[TotalPrice]]</f>
        <v>0</v>
      </c>
    </row>
    <row r="660" spans="1:15" x14ac:dyDescent="0.3">
      <c r="A660" s="1" t="s">
        <v>672</v>
      </c>
      <c r="B660" s="2">
        <v>45765</v>
      </c>
      <c r="C660" s="3" t="s">
        <v>1871</v>
      </c>
      <c r="D660" s="1" t="s">
        <v>2407</v>
      </c>
      <c r="E660" s="5">
        <v>2</v>
      </c>
      <c r="F660" s="4">
        <v>46.36</v>
      </c>
      <c r="G660" s="1" t="s">
        <v>2657</v>
      </c>
      <c r="H660" s="1" t="s">
        <v>3068</v>
      </c>
      <c r="I660" s="1" t="s">
        <v>3072</v>
      </c>
      <c r="J660" s="1" t="s">
        <v>3733</v>
      </c>
      <c r="K660" s="1">
        <v>4</v>
      </c>
      <c r="L660" s="1" t="s">
        <v>4275</v>
      </c>
      <c r="M660" s="1" t="s">
        <v>4282</v>
      </c>
      <c r="N660" s="1">
        <v>92.72</v>
      </c>
      <c r="O660" s="1">
        <f>(ordersTable[[#This Row],[Quantity]]*ordersTable[[#This Row],[UnitPrice]])-ordersTable[[#This Row],[TotalPrice]]</f>
        <v>0</v>
      </c>
    </row>
    <row r="661" spans="1:15" x14ac:dyDescent="0.3">
      <c r="A661" s="1" t="s">
        <v>673</v>
      </c>
      <c r="B661" s="2">
        <v>45591</v>
      </c>
      <c r="C661" s="3" t="s">
        <v>1872</v>
      </c>
      <c r="D661" s="1" t="s">
        <v>2404</v>
      </c>
      <c r="E661" s="5">
        <v>2</v>
      </c>
      <c r="F661" s="4">
        <v>642.04</v>
      </c>
      <c r="G661" s="1" t="s">
        <v>2813</v>
      </c>
      <c r="H661" s="1" t="s">
        <v>3068</v>
      </c>
      <c r="I661" s="1" t="s">
        <v>3073</v>
      </c>
      <c r="J661" s="1" t="s">
        <v>3734</v>
      </c>
      <c r="K661" s="1">
        <v>4</v>
      </c>
      <c r="L661" s="1" t="s">
        <v>4277</v>
      </c>
      <c r="M661" s="1" t="s">
        <v>4280</v>
      </c>
      <c r="N661" s="1">
        <v>1284.08</v>
      </c>
      <c r="O661" s="1">
        <f>(ordersTable[[#This Row],[Quantity]]*ordersTable[[#This Row],[UnitPrice]])-ordersTable[[#This Row],[TotalPrice]]</f>
        <v>0</v>
      </c>
    </row>
    <row r="662" spans="1:15" x14ac:dyDescent="0.3">
      <c r="A662" s="1" t="s">
        <v>674</v>
      </c>
      <c r="B662" s="2">
        <v>45584</v>
      </c>
      <c r="C662" s="3" t="s">
        <v>1873</v>
      </c>
      <c r="D662" s="1" t="s">
        <v>2406</v>
      </c>
      <c r="E662" s="5">
        <v>2</v>
      </c>
      <c r="F662" s="4">
        <v>651.57000000000005</v>
      </c>
      <c r="G662" s="1" t="s">
        <v>2543</v>
      </c>
      <c r="H662" s="1" t="s">
        <v>3065</v>
      </c>
      <c r="I662" s="1" t="s">
        <v>3070</v>
      </c>
      <c r="J662" s="1" t="s">
        <v>3735</v>
      </c>
      <c r="K662" s="1">
        <v>7</v>
      </c>
      <c r="L662" s="1" t="s">
        <v>4277</v>
      </c>
      <c r="M662" s="1" t="s">
        <v>4281</v>
      </c>
      <c r="N662" s="1">
        <v>1303.1400000000001</v>
      </c>
      <c r="O662" s="1">
        <f>(ordersTable[[#This Row],[Quantity]]*ordersTable[[#This Row],[UnitPrice]])-ordersTable[[#This Row],[TotalPrice]]</f>
        <v>0</v>
      </c>
    </row>
    <row r="663" spans="1:15" x14ac:dyDescent="0.3">
      <c r="A663" s="1" t="s">
        <v>675</v>
      </c>
      <c r="B663" s="2">
        <v>45716</v>
      </c>
      <c r="C663" s="3" t="s">
        <v>1874</v>
      </c>
      <c r="D663" s="1" t="s">
        <v>2405</v>
      </c>
      <c r="E663" s="5">
        <v>3</v>
      </c>
      <c r="F663" s="4">
        <v>424.89</v>
      </c>
      <c r="G663" s="1" t="s">
        <v>2863</v>
      </c>
      <c r="H663" s="1" t="s">
        <v>3065</v>
      </c>
      <c r="I663" s="1" t="s">
        <v>3071</v>
      </c>
      <c r="J663" s="1" t="s">
        <v>3736</v>
      </c>
      <c r="K663" s="1">
        <v>6</v>
      </c>
      <c r="L663" s="1" t="s">
        <v>4276</v>
      </c>
      <c r="M663" s="1" t="s">
        <v>4282</v>
      </c>
      <c r="N663" s="1">
        <v>1274.67</v>
      </c>
      <c r="O663" s="1">
        <f>(ordersTable[[#This Row],[Quantity]]*ordersTable[[#This Row],[UnitPrice]])-ordersTable[[#This Row],[TotalPrice]]</f>
        <v>0</v>
      </c>
    </row>
    <row r="664" spans="1:15" x14ac:dyDescent="0.3">
      <c r="A664" s="1" t="s">
        <v>676</v>
      </c>
      <c r="B664" s="2">
        <v>44954</v>
      </c>
      <c r="C664" s="3" t="s">
        <v>1875</v>
      </c>
      <c r="D664" s="1" t="s">
        <v>2408</v>
      </c>
      <c r="E664" s="5">
        <v>3</v>
      </c>
      <c r="F664" s="4">
        <v>438.89</v>
      </c>
      <c r="G664" s="1" t="s">
        <v>2864</v>
      </c>
      <c r="H664" s="1" t="s">
        <v>3069</v>
      </c>
      <c r="I664" s="1" t="s">
        <v>3072</v>
      </c>
      <c r="J664" s="1" t="s">
        <v>3737</v>
      </c>
      <c r="K664" s="1">
        <v>3</v>
      </c>
      <c r="M664" s="1" t="s">
        <v>4281</v>
      </c>
      <c r="N664" s="1">
        <v>1316.67</v>
      </c>
      <c r="O664" s="1">
        <f>(ordersTable[[#This Row],[Quantity]]*ordersTable[[#This Row],[UnitPrice]])-ordersTable[[#This Row],[TotalPrice]]</f>
        <v>0</v>
      </c>
    </row>
    <row r="665" spans="1:15" x14ac:dyDescent="0.3">
      <c r="A665" s="1" t="s">
        <v>677</v>
      </c>
      <c r="B665" s="2">
        <v>45397</v>
      </c>
      <c r="C665" s="3" t="s">
        <v>1876</v>
      </c>
      <c r="D665" s="1" t="s">
        <v>2403</v>
      </c>
      <c r="E665" s="5">
        <v>1</v>
      </c>
      <c r="F665" s="4">
        <v>72.599999999999994</v>
      </c>
      <c r="G665" s="1" t="s">
        <v>2800</v>
      </c>
      <c r="H665" s="1" t="s">
        <v>3065</v>
      </c>
      <c r="I665" s="1" t="s">
        <v>3071</v>
      </c>
      <c r="J665" s="1" t="s">
        <v>3738</v>
      </c>
      <c r="K665" s="1">
        <v>6</v>
      </c>
      <c r="L665" s="1" t="s">
        <v>4276</v>
      </c>
      <c r="M665" s="1" t="s">
        <v>4278</v>
      </c>
      <c r="N665" s="1">
        <v>72.599999999999994</v>
      </c>
      <c r="O665" s="1">
        <f>(ordersTable[[#This Row],[Quantity]]*ordersTable[[#This Row],[UnitPrice]])-ordersTable[[#This Row],[TotalPrice]]</f>
        <v>0</v>
      </c>
    </row>
    <row r="666" spans="1:15" x14ac:dyDescent="0.3">
      <c r="A666" s="1" t="s">
        <v>678</v>
      </c>
      <c r="B666" s="2">
        <v>45645</v>
      </c>
      <c r="C666" s="3" t="s">
        <v>1450</v>
      </c>
      <c r="D666" s="1" t="s">
        <v>2408</v>
      </c>
      <c r="E666" s="5">
        <v>4</v>
      </c>
      <c r="F666" s="4">
        <v>194.75</v>
      </c>
      <c r="G666" s="1" t="s">
        <v>2865</v>
      </c>
      <c r="H666" s="1" t="s">
        <v>3069</v>
      </c>
      <c r="I666" s="1" t="s">
        <v>3070</v>
      </c>
      <c r="J666" s="1" t="s">
        <v>3739</v>
      </c>
      <c r="K666" s="1">
        <v>5</v>
      </c>
      <c r="M666" s="1" t="s">
        <v>4281</v>
      </c>
      <c r="N666" s="1">
        <v>779</v>
      </c>
      <c r="O666" s="1">
        <f>(ordersTable[[#This Row],[Quantity]]*ordersTable[[#This Row],[UnitPrice]])-ordersTable[[#This Row],[TotalPrice]]</f>
        <v>0</v>
      </c>
    </row>
    <row r="667" spans="1:15" x14ac:dyDescent="0.3">
      <c r="A667" s="1" t="s">
        <v>679</v>
      </c>
      <c r="B667" s="2">
        <v>45048</v>
      </c>
      <c r="C667" s="3" t="s">
        <v>1877</v>
      </c>
      <c r="D667" s="1" t="s">
        <v>2405</v>
      </c>
      <c r="E667" s="5">
        <v>4</v>
      </c>
      <c r="F667" s="4">
        <v>231.26</v>
      </c>
      <c r="G667" s="1" t="s">
        <v>2866</v>
      </c>
      <c r="H667" s="1" t="s">
        <v>3066</v>
      </c>
      <c r="I667" s="1" t="s">
        <v>3070</v>
      </c>
      <c r="J667" s="1" t="s">
        <v>3740</v>
      </c>
      <c r="K667" s="1">
        <v>6</v>
      </c>
      <c r="L667" s="1" t="s">
        <v>4277</v>
      </c>
      <c r="M667" s="1" t="s">
        <v>4282</v>
      </c>
      <c r="N667" s="1">
        <v>925.04</v>
      </c>
      <c r="O667" s="1">
        <f>(ordersTable[[#This Row],[Quantity]]*ordersTable[[#This Row],[UnitPrice]])-ordersTable[[#This Row],[TotalPrice]]</f>
        <v>0</v>
      </c>
    </row>
    <row r="668" spans="1:15" x14ac:dyDescent="0.3">
      <c r="A668" s="1" t="s">
        <v>680</v>
      </c>
      <c r="B668" s="2">
        <v>45535</v>
      </c>
      <c r="C668" s="3" t="s">
        <v>1878</v>
      </c>
      <c r="D668" s="1" t="s">
        <v>2403</v>
      </c>
      <c r="E668" s="5">
        <v>4</v>
      </c>
      <c r="F668" s="4">
        <v>327.12</v>
      </c>
      <c r="G668" s="1" t="s">
        <v>2840</v>
      </c>
      <c r="H668" s="1" t="s">
        <v>3067</v>
      </c>
      <c r="I668" s="1" t="s">
        <v>3071</v>
      </c>
      <c r="J668" s="1" t="s">
        <v>3741</v>
      </c>
      <c r="K668" s="1">
        <v>4</v>
      </c>
      <c r="M668" s="1" t="s">
        <v>4280</v>
      </c>
      <c r="N668" s="1">
        <v>1308.48</v>
      </c>
      <c r="O668" s="1">
        <f>(ordersTable[[#This Row],[Quantity]]*ordersTable[[#This Row],[UnitPrice]])-ordersTable[[#This Row],[TotalPrice]]</f>
        <v>0</v>
      </c>
    </row>
    <row r="669" spans="1:15" x14ac:dyDescent="0.3">
      <c r="A669" s="1" t="s">
        <v>681</v>
      </c>
      <c r="B669" s="2">
        <v>45049</v>
      </c>
      <c r="C669" s="3" t="s">
        <v>1879</v>
      </c>
      <c r="D669" s="1" t="s">
        <v>2408</v>
      </c>
      <c r="E669" s="5">
        <v>1</v>
      </c>
      <c r="F669" s="4">
        <v>466.42</v>
      </c>
      <c r="G669" s="1" t="s">
        <v>2590</v>
      </c>
      <c r="H669" s="1" t="s">
        <v>3068</v>
      </c>
      <c r="I669" s="1" t="s">
        <v>3074</v>
      </c>
      <c r="J669" s="1" t="s">
        <v>3742</v>
      </c>
      <c r="K669" s="1">
        <v>5</v>
      </c>
      <c r="L669" s="1" t="s">
        <v>4275</v>
      </c>
      <c r="M669" s="1" t="s">
        <v>4280</v>
      </c>
      <c r="N669" s="1">
        <v>466.42</v>
      </c>
      <c r="O669" s="1">
        <f>(ordersTable[[#This Row],[Quantity]]*ordersTable[[#This Row],[UnitPrice]])-ordersTable[[#This Row],[TotalPrice]]</f>
        <v>0</v>
      </c>
    </row>
    <row r="670" spans="1:15" x14ac:dyDescent="0.3">
      <c r="A670" s="1" t="s">
        <v>682</v>
      </c>
      <c r="B670" s="2">
        <v>45478</v>
      </c>
      <c r="C670" s="3" t="s">
        <v>1880</v>
      </c>
      <c r="D670" s="1" t="s">
        <v>2403</v>
      </c>
      <c r="E670" s="5">
        <v>2</v>
      </c>
      <c r="F670" s="4">
        <v>253.67</v>
      </c>
      <c r="G670" s="1" t="s">
        <v>2549</v>
      </c>
      <c r="H670" s="1" t="s">
        <v>3069</v>
      </c>
      <c r="I670" s="1" t="s">
        <v>3072</v>
      </c>
      <c r="J670" s="1" t="s">
        <v>3743</v>
      </c>
      <c r="K670" s="1">
        <v>3</v>
      </c>
      <c r="L670" s="1" t="s">
        <v>4277</v>
      </c>
      <c r="M670" s="1" t="s">
        <v>4281</v>
      </c>
      <c r="N670" s="1">
        <v>507.34</v>
      </c>
      <c r="O670" s="1">
        <f>(ordersTable[[#This Row],[Quantity]]*ordersTable[[#This Row],[UnitPrice]])-ordersTable[[#This Row],[TotalPrice]]</f>
        <v>0</v>
      </c>
    </row>
    <row r="671" spans="1:15" x14ac:dyDescent="0.3">
      <c r="A671" s="1" t="s">
        <v>683</v>
      </c>
      <c r="B671" s="2">
        <v>44962</v>
      </c>
      <c r="C671" s="3" t="s">
        <v>1881</v>
      </c>
      <c r="D671" s="1" t="s">
        <v>2409</v>
      </c>
      <c r="E671" s="5">
        <v>1</v>
      </c>
      <c r="F671" s="4">
        <v>257</v>
      </c>
      <c r="G671" s="1" t="s">
        <v>2867</v>
      </c>
      <c r="H671" s="1" t="s">
        <v>3065</v>
      </c>
      <c r="I671" s="1" t="s">
        <v>3071</v>
      </c>
      <c r="J671" s="1" t="s">
        <v>3744</v>
      </c>
      <c r="K671" s="1">
        <v>5</v>
      </c>
      <c r="M671" s="1" t="s">
        <v>4279</v>
      </c>
      <c r="N671" s="1">
        <v>257</v>
      </c>
      <c r="O671" s="1">
        <f>(ordersTable[[#This Row],[Quantity]]*ordersTable[[#This Row],[UnitPrice]])-ordersTable[[#This Row],[TotalPrice]]</f>
        <v>0</v>
      </c>
    </row>
    <row r="672" spans="1:15" x14ac:dyDescent="0.3">
      <c r="A672" s="1" t="s">
        <v>684</v>
      </c>
      <c r="B672" s="2">
        <v>45400</v>
      </c>
      <c r="C672" s="3" t="s">
        <v>1882</v>
      </c>
      <c r="D672" s="1" t="s">
        <v>2409</v>
      </c>
      <c r="E672" s="5">
        <v>4</v>
      </c>
      <c r="F672" s="4">
        <v>539.20000000000005</v>
      </c>
      <c r="G672" s="1" t="s">
        <v>2710</v>
      </c>
      <c r="H672" s="1" t="s">
        <v>3067</v>
      </c>
      <c r="I672" s="1" t="s">
        <v>3074</v>
      </c>
      <c r="J672" s="1" t="s">
        <v>3745</v>
      </c>
      <c r="K672" s="1">
        <v>8</v>
      </c>
      <c r="L672" s="1" t="s">
        <v>4276</v>
      </c>
      <c r="M672" s="1" t="s">
        <v>4282</v>
      </c>
      <c r="N672" s="1">
        <v>2156.8000000000002</v>
      </c>
      <c r="O672" s="1">
        <f>(ordersTable[[#This Row],[Quantity]]*ordersTable[[#This Row],[UnitPrice]])-ordersTable[[#This Row],[TotalPrice]]</f>
        <v>0</v>
      </c>
    </row>
    <row r="673" spans="1:15" x14ac:dyDescent="0.3">
      <c r="A673" s="1" t="s">
        <v>685</v>
      </c>
      <c r="B673" s="2">
        <v>45092</v>
      </c>
      <c r="C673" s="3" t="s">
        <v>1883</v>
      </c>
      <c r="D673" s="1" t="s">
        <v>2406</v>
      </c>
      <c r="E673" s="5">
        <v>5</v>
      </c>
      <c r="F673" s="4">
        <v>50.74</v>
      </c>
      <c r="G673" s="1" t="s">
        <v>2554</v>
      </c>
      <c r="H673" s="1" t="s">
        <v>3068</v>
      </c>
      <c r="I673" s="1" t="s">
        <v>3071</v>
      </c>
      <c r="J673" s="1" t="s">
        <v>3746</v>
      </c>
      <c r="K673" s="1">
        <v>7</v>
      </c>
      <c r="L673" s="1" t="s">
        <v>4277</v>
      </c>
      <c r="M673" s="1" t="s">
        <v>4282</v>
      </c>
      <c r="N673" s="1">
        <v>253.7</v>
      </c>
      <c r="O673" s="1">
        <f>(ordersTable[[#This Row],[Quantity]]*ordersTable[[#This Row],[UnitPrice]])-ordersTable[[#This Row],[TotalPrice]]</f>
        <v>0</v>
      </c>
    </row>
    <row r="674" spans="1:15" x14ac:dyDescent="0.3">
      <c r="A674" s="1" t="s">
        <v>686</v>
      </c>
      <c r="B674" s="2">
        <v>45055</v>
      </c>
      <c r="C674" s="3" t="s">
        <v>1884</v>
      </c>
      <c r="D674" s="1" t="s">
        <v>2404</v>
      </c>
      <c r="E674" s="5">
        <v>2</v>
      </c>
      <c r="F674" s="4">
        <v>624.16</v>
      </c>
      <c r="G674" s="1" t="s">
        <v>2843</v>
      </c>
      <c r="H674" s="1" t="s">
        <v>3065</v>
      </c>
      <c r="I674" s="1" t="s">
        <v>3070</v>
      </c>
      <c r="J674" s="1" t="s">
        <v>3747</v>
      </c>
      <c r="K674" s="1">
        <v>2</v>
      </c>
      <c r="L674" s="1" t="s">
        <v>4275</v>
      </c>
      <c r="M674" s="1" t="s">
        <v>4278</v>
      </c>
      <c r="N674" s="1">
        <v>1248.32</v>
      </c>
      <c r="O674" s="1">
        <f>(ordersTable[[#This Row],[Quantity]]*ordersTable[[#This Row],[UnitPrice]])-ordersTable[[#This Row],[TotalPrice]]</f>
        <v>0</v>
      </c>
    </row>
    <row r="675" spans="1:15" x14ac:dyDescent="0.3">
      <c r="A675" s="1" t="s">
        <v>687</v>
      </c>
      <c r="B675" s="2">
        <v>44978</v>
      </c>
      <c r="C675" s="3" t="s">
        <v>1885</v>
      </c>
      <c r="D675" s="1" t="s">
        <v>2405</v>
      </c>
      <c r="E675" s="5">
        <v>2</v>
      </c>
      <c r="F675" s="4">
        <v>372.92</v>
      </c>
      <c r="G675" s="1" t="s">
        <v>2512</v>
      </c>
      <c r="H675" s="1" t="s">
        <v>3067</v>
      </c>
      <c r="I675" s="1" t="s">
        <v>3073</v>
      </c>
      <c r="J675" s="1" t="s">
        <v>3748</v>
      </c>
      <c r="K675" s="1">
        <v>7</v>
      </c>
      <c r="L675" s="1" t="s">
        <v>4275</v>
      </c>
      <c r="M675" s="1" t="s">
        <v>4280</v>
      </c>
      <c r="N675" s="1">
        <v>745.84</v>
      </c>
      <c r="O675" s="1">
        <f>(ordersTable[[#This Row],[Quantity]]*ordersTable[[#This Row],[UnitPrice]])-ordersTable[[#This Row],[TotalPrice]]</f>
        <v>0</v>
      </c>
    </row>
    <row r="676" spans="1:15" x14ac:dyDescent="0.3">
      <c r="A676" s="1" t="s">
        <v>688</v>
      </c>
      <c r="B676" s="2">
        <v>45300</v>
      </c>
      <c r="C676" s="3" t="s">
        <v>1886</v>
      </c>
      <c r="D676" s="1" t="s">
        <v>2408</v>
      </c>
      <c r="E676" s="5">
        <v>4</v>
      </c>
      <c r="F676" s="4">
        <v>358.75</v>
      </c>
      <c r="G676" s="1" t="s">
        <v>2868</v>
      </c>
      <c r="H676" s="1" t="s">
        <v>3068</v>
      </c>
      <c r="I676" s="1" t="s">
        <v>3073</v>
      </c>
      <c r="J676" s="1" t="s">
        <v>3749</v>
      </c>
      <c r="K676" s="1">
        <v>9</v>
      </c>
      <c r="L676" s="1" t="s">
        <v>4275</v>
      </c>
      <c r="M676" s="1" t="s">
        <v>4281</v>
      </c>
      <c r="N676" s="1">
        <v>1435</v>
      </c>
      <c r="O676" s="1">
        <f>(ordersTable[[#This Row],[Quantity]]*ordersTable[[#This Row],[UnitPrice]])-ordersTable[[#This Row],[TotalPrice]]</f>
        <v>0</v>
      </c>
    </row>
    <row r="677" spans="1:15" x14ac:dyDescent="0.3">
      <c r="A677" s="1" t="s">
        <v>689</v>
      </c>
      <c r="B677" s="2">
        <v>45510</v>
      </c>
      <c r="C677" s="3" t="s">
        <v>1887</v>
      </c>
      <c r="D677" s="1" t="s">
        <v>2409</v>
      </c>
      <c r="E677" s="5">
        <v>3</v>
      </c>
      <c r="F677" s="4">
        <v>342.02</v>
      </c>
      <c r="G677" s="1" t="s">
        <v>2807</v>
      </c>
      <c r="H677" s="1" t="s">
        <v>3065</v>
      </c>
      <c r="I677" s="1" t="s">
        <v>3074</v>
      </c>
      <c r="J677" s="1" t="s">
        <v>3750</v>
      </c>
      <c r="K677" s="1">
        <v>5</v>
      </c>
      <c r="M677" s="1" t="s">
        <v>4280</v>
      </c>
      <c r="N677" s="1">
        <v>1026.06</v>
      </c>
      <c r="O677" s="1">
        <f>(ordersTable[[#This Row],[Quantity]]*ordersTable[[#This Row],[UnitPrice]])-ordersTable[[#This Row],[TotalPrice]]</f>
        <v>0</v>
      </c>
    </row>
    <row r="678" spans="1:15" x14ac:dyDescent="0.3">
      <c r="A678" s="1" t="s">
        <v>690</v>
      </c>
      <c r="B678" s="2">
        <v>45831</v>
      </c>
      <c r="C678" s="3" t="s">
        <v>1888</v>
      </c>
      <c r="D678" s="1" t="s">
        <v>2408</v>
      </c>
      <c r="E678" s="5">
        <v>2</v>
      </c>
      <c r="F678" s="4">
        <v>422.34</v>
      </c>
      <c r="G678" s="1" t="s">
        <v>2864</v>
      </c>
      <c r="H678" s="1" t="s">
        <v>3067</v>
      </c>
      <c r="I678" s="1" t="s">
        <v>3071</v>
      </c>
      <c r="J678" s="1" t="s">
        <v>3751</v>
      </c>
      <c r="K678" s="1">
        <v>4</v>
      </c>
      <c r="L678" s="1" t="s">
        <v>4276</v>
      </c>
      <c r="M678" s="1" t="s">
        <v>4278</v>
      </c>
      <c r="N678" s="1">
        <v>844.68</v>
      </c>
      <c r="O678" s="1">
        <f>(ordersTable[[#This Row],[Quantity]]*ordersTable[[#This Row],[UnitPrice]])-ordersTable[[#This Row],[TotalPrice]]</f>
        <v>0</v>
      </c>
    </row>
    <row r="679" spans="1:15" x14ac:dyDescent="0.3">
      <c r="A679" s="1" t="s">
        <v>691</v>
      </c>
      <c r="B679" s="2">
        <v>45750</v>
      </c>
      <c r="C679" s="3" t="s">
        <v>1889</v>
      </c>
      <c r="D679" s="1" t="s">
        <v>2405</v>
      </c>
      <c r="E679" s="5">
        <v>5</v>
      </c>
      <c r="F679" s="4">
        <v>22.07</v>
      </c>
      <c r="G679" s="1" t="s">
        <v>2422</v>
      </c>
      <c r="H679" s="1" t="s">
        <v>3066</v>
      </c>
      <c r="I679" s="1" t="s">
        <v>3071</v>
      </c>
      <c r="J679" s="1" t="s">
        <v>3752</v>
      </c>
      <c r="K679" s="1">
        <v>7</v>
      </c>
      <c r="L679" s="1" t="s">
        <v>4276</v>
      </c>
      <c r="M679" s="1" t="s">
        <v>4278</v>
      </c>
      <c r="N679" s="1">
        <v>110.35</v>
      </c>
      <c r="O679" s="1">
        <f>(ordersTable[[#This Row],[Quantity]]*ordersTable[[#This Row],[UnitPrice]])-ordersTable[[#This Row],[TotalPrice]]</f>
        <v>0</v>
      </c>
    </row>
    <row r="680" spans="1:15" x14ac:dyDescent="0.3">
      <c r="A680" s="1" t="s">
        <v>692</v>
      </c>
      <c r="B680" s="2">
        <v>45620</v>
      </c>
      <c r="C680" s="3" t="s">
        <v>1890</v>
      </c>
      <c r="D680" s="1" t="s">
        <v>2406</v>
      </c>
      <c r="E680" s="5">
        <v>3</v>
      </c>
      <c r="F680" s="4">
        <v>163.13</v>
      </c>
      <c r="G680" s="1" t="s">
        <v>2600</v>
      </c>
      <c r="H680" s="1" t="s">
        <v>3068</v>
      </c>
      <c r="I680" s="1" t="s">
        <v>3070</v>
      </c>
      <c r="J680" s="1" t="s">
        <v>3753</v>
      </c>
      <c r="K680" s="1">
        <v>5</v>
      </c>
      <c r="L680" s="1" t="s">
        <v>4277</v>
      </c>
      <c r="M680" s="1" t="s">
        <v>4281</v>
      </c>
      <c r="N680" s="1">
        <v>489.39</v>
      </c>
      <c r="O680" s="1">
        <f>(ordersTable[[#This Row],[Quantity]]*ordersTable[[#This Row],[UnitPrice]])-ordersTable[[#This Row],[TotalPrice]]</f>
        <v>0</v>
      </c>
    </row>
    <row r="681" spans="1:15" x14ac:dyDescent="0.3">
      <c r="A681" s="1" t="s">
        <v>693</v>
      </c>
      <c r="B681" s="2">
        <v>44959</v>
      </c>
      <c r="C681" s="3" t="s">
        <v>1891</v>
      </c>
      <c r="D681" s="1" t="s">
        <v>2405</v>
      </c>
      <c r="E681" s="5">
        <v>3</v>
      </c>
      <c r="F681" s="4">
        <v>360.66</v>
      </c>
      <c r="G681" s="1" t="s">
        <v>2733</v>
      </c>
      <c r="H681" s="1" t="s">
        <v>3066</v>
      </c>
      <c r="I681" s="1" t="s">
        <v>3072</v>
      </c>
      <c r="J681" s="1" t="s">
        <v>3754</v>
      </c>
      <c r="K681" s="1">
        <v>5</v>
      </c>
      <c r="L681" s="1" t="s">
        <v>4276</v>
      </c>
      <c r="M681" s="1" t="s">
        <v>4278</v>
      </c>
      <c r="N681" s="1">
        <v>1081.98</v>
      </c>
      <c r="O681" s="1">
        <f>(ordersTable[[#This Row],[Quantity]]*ordersTable[[#This Row],[UnitPrice]])-ordersTable[[#This Row],[TotalPrice]]</f>
        <v>0</v>
      </c>
    </row>
    <row r="682" spans="1:15" x14ac:dyDescent="0.3">
      <c r="A682" s="1" t="s">
        <v>694</v>
      </c>
      <c r="B682" s="2">
        <v>45165</v>
      </c>
      <c r="C682" s="3" t="s">
        <v>1892</v>
      </c>
      <c r="D682" s="1" t="s">
        <v>2403</v>
      </c>
      <c r="E682" s="5">
        <v>3</v>
      </c>
      <c r="F682" s="4">
        <v>463.39</v>
      </c>
      <c r="G682" s="1" t="s">
        <v>2869</v>
      </c>
      <c r="H682" s="1" t="s">
        <v>3067</v>
      </c>
      <c r="I682" s="1" t="s">
        <v>3072</v>
      </c>
      <c r="J682" s="1" t="s">
        <v>3755</v>
      </c>
      <c r="K682" s="1">
        <v>3</v>
      </c>
      <c r="M682" s="1" t="s">
        <v>4281</v>
      </c>
      <c r="N682" s="1">
        <v>1390.17</v>
      </c>
      <c r="O682" s="1">
        <f>(ordersTable[[#This Row],[Quantity]]*ordersTable[[#This Row],[UnitPrice]])-ordersTable[[#This Row],[TotalPrice]]</f>
        <v>0</v>
      </c>
    </row>
    <row r="683" spans="1:15" x14ac:dyDescent="0.3">
      <c r="A683" s="1" t="s">
        <v>695</v>
      </c>
      <c r="B683" s="2">
        <v>45321</v>
      </c>
      <c r="C683" s="3" t="s">
        <v>1893</v>
      </c>
      <c r="D683" s="1" t="s">
        <v>2405</v>
      </c>
      <c r="E683" s="5">
        <v>1</v>
      </c>
      <c r="F683" s="4">
        <v>155.27000000000001</v>
      </c>
      <c r="G683" s="1" t="s">
        <v>2870</v>
      </c>
      <c r="H683" s="1" t="s">
        <v>3065</v>
      </c>
      <c r="I683" s="1" t="s">
        <v>3070</v>
      </c>
      <c r="J683" s="1" t="s">
        <v>3756</v>
      </c>
      <c r="K683" s="1">
        <v>6</v>
      </c>
      <c r="M683" s="1" t="s">
        <v>4280</v>
      </c>
      <c r="N683" s="1">
        <v>155.27000000000001</v>
      </c>
      <c r="O683" s="1">
        <f>(ordersTable[[#This Row],[Quantity]]*ordersTable[[#This Row],[UnitPrice]])-ordersTable[[#This Row],[TotalPrice]]</f>
        <v>0</v>
      </c>
    </row>
    <row r="684" spans="1:15" x14ac:dyDescent="0.3">
      <c r="A684" s="1" t="s">
        <v>696</v>
      </c>
      <c r="B684" s="2">
        <v>45130</v>
      </c>
      <c r="C684" s="3" t="s">
        <v>1894</v>
      </c>
      <c r="D684" s="1" t="s">
        <v>2403</v>
      </c>
      <c r="E684" s="5">
        <v>3</v>
      </c>
      <c r="F684" s="4">
        <v>509.42</v>
      </c>
      <c r="G684" s="1" t="s">
        <v>2777</v>
      </c>
      <c r="H684" s="1" t="s">
        <v>3067</v>
      </c>
      <c r="I684" s="1" t="s">
        <v>3071</v>
      </c>
      <c r="J684" s="1" t="s">
        <v>3757</v>
      </c>
      <c r="K684" s="1">
        <v>5</v>
      </c>
      <c r="L684" s="1" t="s">
        <v>4276</v>
      </c>
      <c r="M684" s="1" t="s">
        <v>4282</v>
      </c>
      <c r="N684" s="1">
        <v>1528.26</v>
      </c>
      <c r="O684" s="1">
        <f>(ordersTable[[#This Row],[Quantity]]*ordersTable[[#This Row],[UnitPrice]])-ordersTable[[#This Row],[TotalPrice]]</f>
        <v>0</v>
      </c>
    </row>
    <row r="685" spans="1:15" x14ac:dyDescent="0.3">
      <c r="A685" s="1" t="s">
        <v>697</v>
      </c>
      <c r="B685" s="2">
        <v>45795</v>
      </c>
      <c r="C685" s="3" t="s">
        <v>1895</v>
      </c>
      <c r="D685" s="1" t="s">
        <v>2409</v>
      </c>
      <c r="E685" s="5">
        <v>4</v>
      </c>
      <c r="F685" s="4">
        <v>652.48</v>
      </c>
      <c r="G685" s="1" t="s">
        <v>2871</v>
      </c>
      <c r="H685" s="1" t="s">
        <v>3069</v>
      </c>
      <c r="I685" s="1" t="s">
        <v>3074</v>
      </c>
      <c r="J685" s="1" t="s">
        <v>3758</v>
      </c>
      <c r="K685" s="1">
        <v>5</v>
      </c>
      <c r="L685" s="1" t="s">
        <v>4276</v>
      </c>
      <c r="M685" s="1" t="s">
        <v>4278</v>
      </c>
      <c r="N685" s="1">
        <v>2609.92</v>
      </c>
      <c r="O685" s="1">
        <f>(ordersTable[[#This Row],[Quantity]]*ordersTable[[#This Row],[UnitPrice]])-ordersTable[[#This Row],[TotalPrice]]</f>
        <v>0</v>
      </c>
    </row>
    <row r="686" spans="1:15" x14ac:dyDescent="0.3">
      <c r="A686" s="1" t="s">
        <v>698</v>
      </c>
      <c r="B686" s="2">
        <v>45557</v>
      </c>
      <c r="C686" s="3" t="s">
        <v>1896</v>
      </c>
      <c r="D686" s="1" t="s">
        <v>2407</v>
      </c>
      <c r="E686" s="5">
        <v>4</v>
      </c>
      <c r="F686" s="4">
        <v>34.840000000000003</v>
      </c>
      <c r="G686" s="1" t="s">
        <v>2872</v>
      </c>
      <c r="H686" s="1" t="s">
        <v>3067</v>
      </c>
      <c r="I686" s="1" t="s">
        <v>3070</v>
      </c>
      <c r="J686" s="1" t="s">
        <v>3759</v>
      </c>
      <c r="K686" s="1">
        <v>8</v>
      </c>
      <c r="M686" s="1" t="s">
        <v>4280</v>
      </c>
      <c r="N686" s="1">
        <v>139.36000000000001</v>
      </c>
      <c r="O686" s="1">
        <f>(ordersTable[[#This Row],[Quantity]]*ordersTable[[#This Row],[UnitPrice]])-ordersTable[[#This Row],[TotalPrice]]</f>
        <v>0</v>
      </c>
    </row>
    <row r="687" spans="1:15" x14ac:dyDescent="0.3">
      <c r="A687" s="1" t="s">
        <v>699</v>
      </c>
      <c r="B687" s="2">
        <v>45695</v>
      </c>
      <c r="C687" s="3" t="s">
        <v>1897</v>
      </c>
      <c r="D687" s="1" t="s">
        <v>2409</v>
      </c>
      <c r="E687" s="5">
        <v>1</v>
      </c>
      <c r="F687" s="4">
        <v>234.37</v>
      </c>
      <c r="G687" s="1" t="s">
        <v>2873</v>
      </c>
      <c r="H687" s="1" t="s">
        <v>3065</v>
      </c>
      <c r="I687" s="1" t="s">
        <v>3070</v>
      </c>
      <c r="J687" s="1" t="s">
        <v>3760</v>
      </c>
      <c r="K687" s="1">
        <v>5</v>
      </c>
      <c r="L687" s="1" t="s">
        <v>4276</v>
      </c>
      <c r="M687" s="1" t="s">
        <v>4280</v>
      </c>
      <c r="N687" s="1">
        <v>234.37</v>
      </c>
      <c r="O687" s="1">
        <f>(ordersTable[[#This Row],[Quantity]]*ordersTable[[#This Row],[UnitPrice]])-ordersTable[[#This Row],[TotalPrice]]</f>
        <v>0</v>
      </c>
    </row>
    <row r="688" spans="1:15" x14ac:dyDescent="0.3">
      <c r="A688" s="1" t="s">
        <v>700</v>
      </c>
      <c r="B688" s="2">
        <v>45208</v>
      </c>
      <c r="C688" s="3" t="s">
        <v>1898</v>
      </c>
      <c r="D688" s="1" t="s">
        <v>2409</v>
      </c>
      <c r="E688" s="5">
        <v>3</v>
      </c>
      <c r="F688" s="4">
        <v>53.6</v>
      </c>
      <c r="G688" s="1" t="s">
        <v>2874</v>
      </c>
      <c r="H688" s="1" t="s">
        <v>3069</v>
      </c>
      <c r="I688" s="1" t="s">
        <v>3074</v>
      </c>
      <c r="J688" s="1" t="s">
        <v>3761</v>
      </c>
      <c r="K688" s="1">
        <v>4</v>
      </c>
      <c r="L688" s="1" t="s">
        <v>4277</v>
      </c>
      <c r="M688" s="1" t="s">
        <v>4281</v>
      </c>
      <c r="N688" s="1">
        <v>160.80000000000001</v>
      </c>
      <c r="O688" s="1">
        <f>(ordersTable[[#This Row],[Quantity]]*ordersTable[[#This Row],[UnitPrice]])-ordersTable[[#This Row],[TotalPrice]]</f>
        <v>0</v>
      </c>
    </row>
    <row r="689" spans="1:15" x14ac:dyDescent="0.3">
      <c r="A689" s="1" t="s">
        <v>701</v>
      </c>
      <c r="B689" s="2">
        <v>45182</v>
      </c>
      <c r="C689" s="3" t="s">
        <v>1899</v>
      </c>
      <c r="D689" s="1" t="s">
        <v>2405</v>
      </c>
      <c r="E689" s="5">
        <v>1</v>
      </c>
      <c r="F689" s="4">
        <v>332.09</v>
      </c>
      <c r="G689" s="1" t="s">
        <v>2875</v>
      </c>
      <c r="H689" s="1" t="s">
        <v>3068</v>
      </c>
      <c r="I689" s="1" t="s">
        <v>3072</v>
      </c>
      <c r="J689" s="1" t="s">
        <v>3762</v>
      </c>
      <c r="K689" s="1">
        <v>5</v>
      </c>
      <c r="L689" s="1" t="s">
        <v>4276</v>
      </c>
      <c r="M689" s="1" t="s">
        <v>4278</v>
      </c>
      <c r="N689" s="1">
        <v>332.09</v>
      </c>
      <c r="O689" s="1">
        <f>(ordersTable[[#This Row],[Quantity]]*ordersTable[[#This Row],[UnitPrice]])-ordersTable[[#This Row],[TotalPrice]]</f>
        <v>0</v>
      </c>
    </row>
    <row r="690" spans="1:15" x14ac:dyDescent="0.3">
      <c r="A690" s="1" t="s">
        <v>702</v>
      </c>
      <c r="B690" s="2">
        <v>45357</v>
      </c>
      <c r="C690" s="3" t="s">
        <v>1900</v>
      </c>
      <c r="D690" s="1" t="s">
        <v>2403</v>
      </c>
      <c r="E690" s="5">
        <v>4</v>
      </c>
      <c r="F690" s="4">
        <v>593.22</v>
      </c>
      <c r="G690" s="1" t="s">
        <v>2842</v>
      </c>
      <c r="H690" s="1" t="s">
        <v>3067</v>
      </c>
      <c r="I690" s="1" t="s">
        <v>3071</v>
      </c>
      <c r="J690" s="1" t="s">
        <v>3763</v>
      </c>
      <c r="K690" s="1">
        <v>8</v>
      </c>
      <c r="L690" s="1" t="s">
        <v>4277</v>
      </c>
      <c r="M690" s="1" t="s">
        <v>4281</v>
      </c>
      <c r="N690" s="1">
        <v>2372.88</v>
      </c>
      <c r="O690" s="1">
        <f>(ordersTable[[#This Row],[Quantity]]*ordersTable[[#This Row],[UnitPrice]])-ordersTable[[#This Row],[TotalPrice]]</f>
        <v>0</v>
      </c>
    </row>
    <row r="691" spans="1:15" x14ac:dyDescent="0.3">
      <c r="A691" s="1" t="s">
        <v>703</v>
      </c>
      <c r="B691" s="2">
        <v>45167</v>
      </c>
      <c r="C691" s="3" t="s">
        <v>1901</v>
      </c>
      <c r="D691" s="1" t="s">
        <v>2405</v>
      </c>
      <c r="E691" s="5">
        <v>2</v>
      </c>
      <c r="F691" s="4">
        <v>444.84</v>
      </c>
      <c r="G691" s="1" t="s">
        <v>2876</v>
      </c>
      <c r="H691" s="1" t="s">
        <v>3066</v>
      </c>
      <c r="I691" s="1" t="s">
        <v>3070</v>
      </c>
      <c r="J691" s="1" t="s">
        <v>3764</v>
      </c>
      <c r="K691" s="1">
        <v>7</v>
      </c>
      <c r="M691" s="1" t="s">
        <v>4281</v>
      </c>
      <c r="N691" s="1">
        <v>889.68</v>
      </c>
      <c r="O691" s="1">
        <f>(ordersTable[[#This Row],[Quantity]]*ordersTable[[#This Row],[UnitPrice]])-ordersTable[[#This Row],[TotalPrice]]</f>
        <v>0</v>
      </c>
    </row>
    <row r="692" spans="1:15" x14ac:dyDescent="0.3">
      <c r="A692" s="1" t="s">
        <v>704</v>
      </c>
      <c r="B692" s="2">
        <v>45485</v>
      </c>
      <c r="C692" s="3" t="s">
        <v>1902</v>
      </c>
      <c r="D692" s="1" t="s">
        <v>2403</v>
      </c>
      <c r="E692" s="5">
        <v>1</v>
      </c>
      <c r="F692" s="4">
        <v>24.48</v>
      </c>
      <c r="G692" s="1" t="s">
        <v>2445</v>
      </c>
      <c r="H692" s="1" t="s">
        <v>3068</v>
      </c>
      <c r="I692" s="1" t="s">
        <v>3072</v>
      </c>
      <c r="J692" s="1" t="s">
        <v>3765</v>
      </c>
      <c r="K692" s="1">
        <v>1</v>
      </c>
      <c r="M692" s="1" t="s">
        <v>4278</v>
      </c>
      <c r="N692" s="1">
        <v>24.48</v>
      </c>
      <c r="O692" s="1">
        <f>(ordersTable[[#This Row],[Quantity]]*ordersTable[[#This Row],[UnitPrice]])-ordersTable[[#This Row],[TotalPrice]]</f>
        <v>0</v>
      </c>
    </row>
    <row r="693" spans="1:15" x14ac:dyDescent="0.3">
      <c r="A693" s="1" t="s">
        <v>705</v>
      </c>
      <c r="B693" s="2">
        <v>45620</v>
      </c>
      <c r="C693" s="3" t="s">
        <v>1903</v>
      </c>
      <c r="D693" s="1" t="s">
        <v>2408</v>
      </c>
      <c r="E693" s="5">
        <v>3</v>
      </c>
      <c r="F693" s="4">
        <v>239.08</v>
      </c>
      <c r="G693" s="1" t="s">
        <v>2877</v>
      </c>
      <c r="H693" s="1" t="s">
        <v>3069</v>
      </c>
      <c r="I693" s="1" t="s">
        <v>3070</v>
      </c>
      <c r="J693" s="1" t="s">
        <v>3766</v>
      </c>
      <c r="K693" s="1">
        <v>8</v>
      </c>
      <c r="M693" s="1" t="s">
        <v>4282</v>
      </c>
      <c r="N693" s="1">
        <v>717.24</v>
      </c>
      <c r="O693" s="1">
        <f>(ordersTable[[#This Row],[Quantity]]*ordersTable[[#This Row],[UnitPrice]])-ordersTable[[#This Row],[TotalPrice]]</f>
        <v>0</v>
      </c>
    </row>
    <row r="694" spans="1:15" x14ac:dyDescent="0.3">
      <c r="A694" s="1" t="s">
        <v>706</v>
      </c>
      <c r="B694" s="2">
        <v>44949</v>
      </c>
      <c r="C694" s="3" t="s">
        <v>1904</v>
      </c>
      <c r="D694" s="1" t="s">
        <v>2409</v>
      </c>
      <c r="E694" s="5">
        <v>5</v>
      </c>
      <c r="F694" s="4">
        <v>196.84</v>
      </c>
      <c r="G694" s="1" t="s">
        <v>2732</v>
      </c>
      <c r="H694" s="1" t="s">
        <v>3067</v>
      </c>
      <c r="I694" s="1" t="s">
        <v>3073</v>
      </c>
      <c r="J694" s="1" t="s">
        <v>3767</v>
      </c>
      <c r="K694" s="1">
        <v>5</v>
      </c>
      <c r="L694" s="1" t="s">
        <v>4277</v>
      </c>
      <c r="M694" s="1" t="s">
        <v>4278</v>
      </c>
      <c r="N694" s="1">
        <v>984.2</v>
      </c>
      <c r="O694" s="1">
        <f>(ordersTable[[#This Row],[Quantity]]*ordersTable[[#This Row],[UnitPrice]])-ordersTable[[#This Row],[TotalPrice]]</f>
        <v>0</v>
      </c>
    </row>
    <row r="695" spans="1:15" x14ac:dyDescent="0.3">
      <c r="A695" s="1" t="s">
        <v>707</v>
      </c>
      <c r="B695" s="2">
        <v>45728</v>
      </c>
      <c r="C695" s="3" t="s">
        <v>1905</v>
      </c>
      <c r="D695" s="1" t="s">
        <v>2403</v>
      </c>
      <c r="E695" s="5">
        <v>1</v>
      </c>
      <c r="F695" s="4">
        <v>176.58</v>
      </c>
      <c r="G695" s="1" t="s">
        <v>2878</v>
      </c>
      <c r="H695" s="1" t="s">
        <v>3065</v>
      </c>
      <c r="I695" s="1" t="s">
        <v>3072</v>
      </c>
      <c r="J695" s="1" t="s">
        <v>3768</v>
      </c>
      <c r="K695" s="1">
        <v>4</v>
      </c>
      <c r="M695" s="1" t="s">
        <v>4279</v>
      </c>
      <c r="N695" s="1">
        <v>176.58</v>
      </c>
      <c r="O695" s="1">
        <f>(ordersTable[[#This Row],[Quantity]]*ordersTable[[#This Row],[UnitPrice]])-ordersTable[[#This Row],[TotalPrice]]</f>
        <v>0</v>
      </c>
    </row>
    <row r="696" spans="1:15" x14ac:dyDescent="0.3">
      <c r="A696" s="1" t="s">
        <v>708</v>
      </c>
      <c r="B696" s="2">
        <v>45201</v>
      </c>
      <c r="C696" s="3" t="s">
        <v>1906</v>
      </c>
      <c r="D696" s="1" t="s">
        <v>2407</v>
      </c>
      <c r="E696" s="5">
        <v>4</v>
      </c>
      <c r="F696" s="4">
        <v>666.52</v>
      </c>
      <c r="G696" s="1" t="s">
        <v>2695</v>
      </c>
      <c r="H696" s="1" t="s">
        <v>3069</v>
      </c>
      <c r="I696" s="1" t="s">
        <v>3070</v>
      </c>
      <c r="J696" s="1" t="s">
        <v>3769</v>
      </c>
      <c r="K696" s="1">
        <v>8</v>
      </c>
      <c r="L696" s="1" t="s">
        <v>4276</v>
      </c>
      <c r="M696" s="1" t="s">
        <v>4280</v>
      </c>
      <c r="N696" s="1">
        <v>2666.08</v>
      </c>
      <c r="O696" s="1">
        <f>(ordersTable[[#This Row],[Quantity]]*ordersTable[[#This Row],[UnitPrice]])-ordersTable[[#This Row],[TotalPrice]]</f>
        <v>0</v>
      </c>
    </row>
    <row r="697" spans="1:15" x14ac:dyDescent="0.3">
      <c r="A697" s="1" t="s">
        <v>709</v>
      </c>
      <c r="B697" s="2">
        <v>45619</v>
      </c>
      <c r="C697" s="3" t="s">
        <v>1907</v>
      </c>
      <c r="D697" s="1" t="s">
        <v>2407</v>
      </c>
      <c r="E697" s="5">
        <v>5</v>
      </c>
      <c r="F697" s="4">
        <v>101.3</v>
      </c>
      <c r="G697" s="1" t="s">
        <v>2568</v>
      </c>
      <c r="H697" s="1" t="s">
        <v>3066</v>
      </c>
      <c r="I697" s="1" t="s">
        <v>3070</v>
      </c>
      <c r="J697" s="1" t="s">
        <v>3770</v>
      </c>
      <c r="K697" s="1">
        <v>7</v>
      </c>
      <c r="L697" s="1" t="s">
        <v>4276</v>
      </c>
      <c r="M697" s="1" t="s">
        <v>4280</v>
      </c>
      <c r="N697" s="1">
        <v>506.5</v>
      </c>
      <c r="O697" s="1">
        <f>(ordersTable[[#This Row],[Quantity]]*ordersTable[[#This Row],[UnitPrice]])-ordersTable[[#This Row],[TotalPrice]]</f>
        <v>0</v>
      </c>
    </row>
    <row r="698" spans="1:15" x14ac:dyDescent="0.3">
      <c r="A698" s="1" t="s">
        <v>710</v>
      </c>
      <c r="B698" s="2">
        <v>45109</v>
      </c>
      <c r="C698" s="3" t="s">
        <v>1908</v>
      </c>
      <c r="D698" s="1" t="s">
        <v>2406</v>
      </c>
      <c r="E698" s="5">
        <v>4</v>
      </c>
      <c r="F698" s="4">
        <v>151.19999999999999</v>
      </c>
      <c r="G698" s="1" t="s">
        <v>2879</v>
      </c>
      <c r="H698" s="1" t="s">
        <v>3068</v>
      </c>
      <c r="I698" s="1" t="s">
        <v>3074</v>
      </c>
      <c r="J698" s="1" t="s">
        <v>3771</v>
      </c>
      <c r="K698" s="1">
        <v>9</v>
      </c>
      <c r="L698" s="1" t="s">
        <v>4277</v>
      </c>
      <c r="M698" s="1" t="s">
        <v>4281</v>
      </c>
      <c r="N698" s="1">
        <v>604.79999999999995</v>
      </c>
      <c r="O698" s="1">
        <f>(ordersTable[[#This Row],[Quantity]]*ordersTable[[#This Row],[UnitPrice]])-ordersTable[[#This Row],[TotalPrice]]</f>
        <v>0</v>
      </c>
    </row>
    <row r="699" spans="1:15" x14ac:dyDescent="0.3">
      <c r="A699" s="1" t="s">
        <v>711</v>
      </c>
      <c r="B699" s="2">
        <v>45692</v>
      </c>
      <c r="C699" s="3" t="s">
        <v>1909</v>
      </c>
      <c r="D699" s="1" t="s">
        <v>2407</v>
      </c>
      <c r="E699" s="5">
        <v>5</v>
      </c>
      <c r="F699" s="4">
        <v>94.85</v>
      </c>
      <c r="G699" s="1" t="s">
        <v>2840</v>
      </c>
      <c r="H699" s="1" t="s">
        <v>3069</v>
      </c>
      <c r="I699" s="1" t="s">
        <v>3070</v>
      </c>
      <c r="J699" s="1" t="s">
        <v>3772</v>
      </c>
      <c r="K699" s="1">
        <v>6</v>
      </c>
      <c r="L699" s="1" t="s">
        <v>4277</v>
      </c>
      <c r="M699" s="1" t="s">
        <v>4280</v>
      </c>
      <c r="N699" s="1">
        <v>474.25</v>
      </c>
      <c r="O699" s="1">
        <f>(ordersTable[[#This Row],[Quantity]]*ordersTable[[#This Row],[UnitPrice]])-ordersTable[[#This Row],[TotalPrice]]</f>
        <v>0</v>
      </c>
    </row>
    <row r="700" spans="1:15" x14ac:dyDescent="0.3">
      <c r="A700" s="1" t="s">
        <v>712</v>
      </c>
      <c r="B700" s="2">
        <v>44930</v>
      </c>
      <c r="C700" s="3" t="s">
        <v>1910</v>
      </c>
      <c r="D700" s="1" t="s">
        <v>2408</v>
      </c>
      <c r="E700" s="5">
        <v>2</v>
      </c>
      <c r="F700" s="4">
        <v>388.22</v>
      </c>
      <c r="G700" s="1" t="s">
        <v>2792</v>
      </c>
      <c r="H700" s="1" t="s">
        <v>3069</v>
      </c>
      <c r="I700" s="1" t="s">
        <v>3073</v>
      </c>
      <c r="J700" s="1" t="s">
        <v>3773</v>
      </c>
      <c r="K700" s="1">
        <v>2</v>
      </c>
      <c r="L700" s="1" t="s">
        <v>4277</v>
      </c>
      <c r="M700" s="1" t="s">
        <v>4278</v>
      </c>
      <c r="N700" s="1">
        <v>776.44</v>
      </c>
      <c r="O700" s="1">
        <f>(ordersTable[[#This Row],[Quantity]]*ordersTable[[#This Row],[UnitPrice]])-ordersTable[[#This Row],[TotalPrice]]</f>
        <v>0</v>
      </c>
    </row>
    <row r="701" spans="1:15" x14ac:dyDescent="0.3">
      <c r="A701" s="1" t="s">
        <v>713</v>
      </c>
      <c r="B701" s="2">
        <v>45243</v>
      </c>
      <c r="C701" s="3" t="s">
        <v>1911</v>
      </c>
      <c r="D701" s="1" t="s">
        <v>2408</v>
      </c>
      <c r="E701" s="5">
        <v>3</v>
      </c>
      <c r="F701" s="4">
        <v>614.15</v>
      </c>
      <c r="G701" s="1" t="s">
        <v>2880</v>
      </c>
      <c r="H701" s="1" t="s">
        <v>3068</v>
      </c>
      <c r="I701" s="1" t="s">
        <v>3071</v>
      </c>
      <c r="J701" s="1" t="s">
        <v>3774</v>
      </c>
      <c r="K701" s="1">
        <v>3</v>
      </c>
      <c r="M701" s="1" t="s">
        <v>4281</v>
      </c>
      <c r="N701" s="1">
        <v>1842.45</v>
      </c>
      <c r="O701" s="1">
        <f>(ordersTable[[#This Row],[Quantity]]*ordersTable[[#This Row],[UnitPrice]])-ordersTable[[#This Row],[TotalPrice]]</f>
        <v>0</v>
      </c>
    </row>
    <row r="702" spans="1:15" x14ac:dyDescent="0.3">
      <c r="A702" s="1" t="s">
        <v>714</v>
      </c>
      <c r="B702" s="2">
        <v>45560</v>
      </c>
      <c r="C702" s="3" t="s">
        <v>1912</v>
      </c>
      <c r="D702" s="1" t="s">
        <v>2408</v>
      </c>
      <c r="E702" s="5">
        <v>2</v>
      </c>
      <c r="F702" s="4">
        <v>92.91</v>
      </c>
      <c r="G702" s="1" t="s">
        <v>2881</v>
      </c>
      <c r="H702" s="1" t="s">
        <v>3069</v>
      </c>
      <c r="I702" s="1" t="s">
        <v>3072</v>
      </c>
      <c r="J702" s="1" t="s">
        <v>3775</v>
      </c>
      <c r="K702" s="1">
        <v>3</v>
      </c>
      <c r="L702" s="1" t="s">
        <v>4277</v>
      </c>
      <c r="M702" s="1" t="s">
        <v>4278</v>
      </c>
      <c r="N702" s="1">
        <v>185.82</v>
      </c>
      <c r="O702" s="1">
        <f>(ordersTable[[#This Row],[Quantity]]*ordersTable[[#This Row],[UnitPrice]])-ordersTable[[#This Row],[TotalPrice]]</f>
        <v>0</v>
      </c>
    </row>
    <row r="703" spans="1:15" x14ac:dyDescent="0.3">
      <c r="A703" s="1" t="s">
        <v>715</v>
      </c>
      <c r="B703" s="2">
        <v>45466</v>
      </c>
      <c r="C703" s="3" t="s">
        <v>1913</v>
      </c>
      <c r="D703" s="1" t="s">
        <v>2403</v>
      </c>
      <c r="E703" s="5">
        <v>3</v>
      </c>
      <c r="F703" s="4">
        <v>92.22</v>
      </c>
      <c r="G703" s="1" t="s">
        <v>2517</v>
      </c>
      <c r="H703" s="1" t="s">
        <v>3067</v>
      </c>
      <c r="I703" s="1" t="s">
        <v>3073</v>
      </c>
      <c r="J703" s="1" t="s">
        <v>3776</v>
      </c>
      <c r="K703" s="1">
        <v>5</v>
      </c>
      <c r="L703" s="1" t="s">
        <v>4276</v>
      </c>
      <c r="M703" s="1" t="s">
        <v>4280</v>
      </c>
      <c r="N703" s="1">
        <v>276.66000000000003</v>
      </c>
      <c r="O703" s="1">
        <f>(ordersTable[[#This Row],[Quantity]]*ordersTable[[#This Row],[UnitPrice]])-ordersTable[[#This Row],[TotalPrice]]</f>
        <v>0</v>
      </c>
    </row>
    <row r="704" spans="1:15" x14ac:dyDescent="0.3">
      <c r="A704" s="1" t="s">
        <v>716</v>
      </c>
      <c r="B704" s="2">
        <v>45452</v>
      </c>
      <c r="C704" s="3" t="s">
        <v>1914</v>
      </c>
      <c r="D704" s="1" t="s">
        <v>2407</v>
      </c>
      <c r="E704" s="5">
        <v>3</v>
      </c>
      <c r="F704" s="4">
        <v>562.54999999999995</v>
      </c>
      <c r="G704" s="1" t="s">
        <v>2842</v>
      </c>
      <c r="H704" s="1" t="s">
        <v>3065</v>
      </c>
      <c r="I704" s="1" t="s">
        <v>3072</v>
      </c>
      <c r="J704" s="1" t="s">
        <v>3777</v>
      </c>
      <c r="K704" s="1">
        <v>6</v>
      </c>
      <c r="M704" s="1" t="s">
        <v>4280</v>
      </c>
      <c r="N704" s="1">
        <v>1687.65</v>
      </c>
      <c r="O704" s="1">
        <f>(ordersTable[[#This Row],[Quantity]]*ordersTable[[#This Row],[UnitPrice]])-ordersTable[[#This Row],[TotalPrice]]</f>
        <v>0</v>
      </c>
    </row>
    <row r="705" spans="1:15" x14ac:dyDescent="0.3">
      <c r="A705" s="1" t="s">
        <v>717</v>
      </c>
      <c r="B705" s="2">
        <v>45007</v>
      </c>
      <c r="C705" s="3" t="s">
        <v>1915</v>
      </c>
      <c r="D705" s="1" t="s">
        <v>2409</v>
      </c>
      <c r="E705" s="5">
        <v>1</v>
      </c>
      <c r="F705" s="4">
        <v>92.79</v>
      </c>
      <c r="G705" s="1" t="s">
        <v>2882</v>
      </c>
      <c r="H705" s="1" t="s">
        <v>3069</v>
      </c>
      <c r="I705" s="1" t="s">
        <v>3074</v>
      </c>
      <c r="J705" s="1" t="s">
        <v>3778</v>
      </c>
      <c r="K705" s="1">
        <v>3</v>
      </c>
      <c r="L705" s="1" t="s">
        <v>4277</v>
      </c>
      <c r="M705" s="1" t="s">
        <v>4280</v>
      </c>
      <c r="N705" s="1">
        <v>92.79</v>
      </c>
      <c r="O705" s="1">
        <f>(ordersTable[[#This Row],[Quantity]]*ordersTable[[#This Row],[UnitPrice]])-ordersTable[[#This Row],[TotalPrice]]</f>
        <v>0</v>
      </c>
    </row>
    <row r="706" spans="1:15" x14ac:dyDescent="0.3">
      <c r="A706" s="1" t="s">
        <v>718</v>
      </c>
      <c r="B706" s="2">
        <v>45080</v>
      </c>
      <c r="C706" s="3" t="s">
        <v>1916</v>
      </c>
      <c r="D706" s="1" t="s">
        <v>2409</v>
      </c>
      <c r="E706" s="5">
        <v>4</v>
      </c>
      <c r="F706" s="4">
        <v>30.27</v>
      </c>
      <c r="G706" s="1" t="s">
        <v>2555</v>
      </c>
      <c r="H706" s="1" t="s">
        <v>3066</v>
      </c>
      <c r="I706" s="1" t="s">
        <v>3073</v>
      </c>
      <c r="J706" s="1" t="s">
        <v>3779</v>
      </c>
      <c r="K706" s="1">
        <v>9</v>
      </c>
      <c r="L706" s="1" t="s">
        <v>4276</v>
      </c>
      <c r="M706" s="1" t="s">
        <v>4282</v>
      </c>
      <c r="N706" s="1">
        <v>121.08</v>
      </c>
      <c r="O706" s="1">
        <f>(ordersTable[[#This Row],[Quantity]]*ordersTable[[#This Row],[UnitPrice]])-ordersTable[[#This Row],[TotalPrice]]</f>
        <v>0</v>
      </c>
    </row>
    <row r="707" spans="1:15" x14ac:dyDescent="0.3">
      <c r="A707" s="1" t="s">
        <v>719</v>
      </c>
      <c r="B707" s="2">
        <v>45746</v>
      </c>
      <c r="C707" s="3" t="s">
        <v>1917</v>
      </c>
      <c r="D707" s="1" t="s">
        <v>2403</v>
      </c>
      <c r="E707" s="5">
        <v>2</v>
      </c>
      <c r="F707" s="4">
        <v>49.08</v>
      </c>
      <c r="G707" s="1" t="s">
        <v>2883</v>
      </c>
      <c r="H707" s="1" t="s">
        <v>3065</v>
      </c>
      <c r="I707" s="1" t="s">
        <v>3072</v>
      </c>
      <c r="J707" s="1" t="s">
        <v>3780</v>
      </c>
      <c r="K707" s="1">
        <v>7</v>
      </c>
      <c r="L707" s="1" t="s">
        <v>4276</v>
      </c>
      <c r="M707" s="1" t="s">
        <v>4278</v>
      </c>
      <c r="N707" s="1">
        <v>98.16</v>
      </c>
      <c r="O707" s="1">
        <f>(ordersTable[[#This Row],[Quantity]]*ordersTable[[#This Row],[UnitPrice]])-ordersTable[[#This Row],[TotalPrice]]</f>
        <v>0</v>
      </c>
    </row>
    <row r="708" spans="1:15" x14ac:dyDescent="0.3">
      <c r="A708" s="1" t="s">
        <v>720</v>
      </c>
      <c r="B708" s="2">
        <v>45718</v>
      </c>
      <c r="C708" s="3" t="s">
        <v>1918</v>
      </c>
      <c r="D708" s="1" t="s">
        <v>2409</v>
      </c>
      <c r="E708" s="5">
        <v>5</v>
      </c>
      <c r="F708" s="4">
        <v>228.09</v>
      </c>
      <c r="G708" s="1" t="s">
        <v>2720</v>
      </c>
      <c r="H708" s="1" t="s">
        <v>3068</v>
      </c>
      <c r="I708" s="1" t="s">
        <v>3072</v>
      </c>
      <c r="J708" s="1" t="s">
        <v>3781</v>
      </c>
      <c r="K708" s="1">
        <v>9</v>
      </c>
      <c r="L708" s="1" t="s">
        <v>4276</v>
      </c>
      <c r="M708" s="1" t="s">
        <v>4281</v>
      </c>
      <c r="N708" s="1">
        <v>1140.45</v>
      </c>
      <c r="O708" s="1">
        <f>(ordersTable[[#This Row],[Quantity]]*ordersTable[[#This Row],[UnitPrice]])-ordersTable[[#This Row],[TotalPrice]]</f>
        <v>0</v>
      </c>
    </row>
    <row r="709" spans="1:15" x14ac:dyDescent="0.3">
      <c r="A709" s="1" t="s">
        <v>721</v>
      </c>
      <c r="B709" s="2">
        <v>45597</v>
      </c>
      <c r="C709" s="3" t="s">
        <v>1919</v>
      </c>
      <c r="D709" s="1" t="s">
        <v>2406</v>
      </c>
      <c r="E709" s="5">
        <v>4</v>
      </c>
      <c r="F709" s="4">
        <v>650.04</v>
      </c>
      <c r="G709" s="1" t="s">
        <v>2487</v>
      </c>
      <c r="H709" s="1" t="s">
        <v>3068</v>
      </c>
      <c r="I709" s="1" t="s">
        <v>3071</v>
      </c>
      <c r="J709" s="1" t="s">
        <v>3782</v>
      </c>
      <c r="K709" s="1">
        <v>6</v>
      </c>
      <c r="L709" s="1" t="s">
        <v>4275</v>
      </c>
      <c r="M709" s="1" t="s">
        <v>4281</v>
      </c>
      <c r="N709" s="1">
        <v>2600.16</v>
      </c>
      <c r="O709" s="1">
        <f>(ordersTable[[#This Row],[Quantity]]*ordersTable[[#This Row],[UnitPrice]])-ordersTable[[#This Row],[TotalPrice]]</f>
        <v>0</v>
      </c>
    </row>
    <row r="710" spans="1:15" x14ac:dyDescent="0.3">
      <c r="A710" s="1" t="s">
        <v>722</v>
      </c>
      <c r="B710" s="2">
        <v>45720</v>
      </c>
      <c r="C710" s="3" t="s">
        <v>1920</v>
      </c>
      <c r="D710" s="1" t="s">
        <v>2407</v>
      </c>
      <c r="E710" s="5">
        <v>1</v>
      </c>
      <c r="F710" s="4">
        <v>665.11</v>
      </c>
      <c r="G710" s="1" t="s">
        <v>2840</v>
      </c>
      <c r="H710" s="1" t="s">
        <v>3069</v>
      </c>
      <c r="I710" s="1" t="s">
        <v>3074</v>
      </c>
      <c r="J710" s="1" t="s">
        <v>3783</v>
      </c>
      <c r="K710" s="1">
        <v>3</v>
      </c>
      <c r="L710" s="1" t="s">
        <v>4276</v>
      </c>
      <c r="M710" s="1" t="s">
        <v>4278</v>
      </c>
      <c r="N710" s="1">
        <v>665.11</v>
      </c>
      <c r="O710" s="1">
        <f>(ordersTable[[#This Row],[Quantity]]*ordersTable[[#This Row],[UnitPrice]])-ordersTable[[#This Row],[TotalPrice]]</f>
        <v>0</v>
      </c>
    </row>
    <row r="711" spans="1:15" x14ac:dyDescent="0.3">
      <c r="A711" s="1" t="s">
        <v>723</v>
      </c>
      <c r="B711" s="2">
        <v>45633</v>
      </c>
      <c r="C711" s="3" t="s">
        <v>1921</v>
      </c>
      <c r="D711" s="1" t="s">
        <v>2409</v>
      </c>
      <c r="E711" s="5">
        <v>1</v>
      </c>
      <c r="F711" s="4">
        <v>386.03</v>
      </c>
      <c r="G711" s="1" t="s">
        <v>2884</v>
      </c>
      <c r="H711" s="1" t="s">
        <v>3066</v>
      </c>
      <c r="I711" s="1" t="s">
        <v>3074</v>
      </c>
      <c r="J711" s="1" t="s">
        <v>3784</v>
      </c>
      <c r="K711" s="1">
        <v>4</v>
      </c>
      <c r="L711" s="1" t="s">
        <v>4276</v>
      </c>
      <c r="M711" s="1" t="s">
        <v>4282</v>
      </c>
      <c r="N711" s="1">
        <v>386.03</v>
      </c>
      <c r="O711" s="1">
        <f>(ordersTable[[#This Row],[Quantity]]*ordersTable[[#This Row],[UnitPrice]])-ordersTable[[#This Row],[TotalPrice]]</f>
        <v>0</v>
      </c>
    </row>
    <row r="712" spans="1:15" x14ac:dyDescent="0.3">
      <c r="A712" s="1" t="s">
        <v>724</v>
      </c>
      <c r="B712" s="2">
        <v>45495</v>
      </c>
      <c r="C712" s="3" t="s">
        <v>1922</v>
      </c>
      <c r="D712" s="1" t="s">
        <v>2408</v>
      </c>
      <c r="E712" s="5">
        <v>5</v>
      </c>
      <c r="F712" s="4">
        <v>21.54</v>
      </c>
      <c r="G712" s="1" t="s">
        <v>2885</v>
      </c>
      <c r="H712" s="1" t="s">
        <v>3068</v>
      </c>
      <c r="I712" s="1" t="s">
        <v>3072</v>
      </c>
      <c r="J712" s="1" t="s">
        <v>3785</v>
      </c>
      <c r="K712" s="1">
        <v>10</v>
      </c>
      <c r="M712" s="1" t="s">
        <v>4282</v>
      </c>
      <c r="N712" s="1">
        <v>107.7</v>
      </c>
      <c r="O712" s="1">
        <f>(ordersTable[[#This Row],[Quantity]]*ordersTable[[#This Row],[UnitPrice]])-ordersTable[[#This Row],[TotalPrice]]</f>
        <v>0</v>
      </c>
    </row>
    <row r="713" spans="1:15" x14ac:dyDescent="0.3">
      <c r="A713" s="1" t="s">
        <v>725</v>
      </c>
      <c r="B713" s="2">
        <v>45477</v>
      </c>
      <c r="C713" s="3" t="s">
        <v>1923</v>
      </c>
      <c r="D713" s="1" t="s">
        <v>2405</v>
      </c>
      <c r="E713" s="5">
        <v>2</v>
      </c>
      <c r="F713" s="4">
        <v>475.78</v>
      </c>
      <c r="G713" s="1" t="s">
        <v>2886</v>
      </c>
      <c r="H713" s="1" t="s">
        <v>3066</v>
      </c>
      <c r="I713" s="1" t="s">
        <v>3070</v>
      </c>
      <c r="J713" s="1" t="s">
        <v>3786</v>
      </c>
      <c r="K713" s="1">
        <v>2</v>
      </c>
      <c r="L713" s="1" t="s">
        <v>4277</v>
      </c>
      <c r="M713" s="1" t="s">
        <v>4282</v>
      </c>
      <c r="N713" s="1">
        <v>951.56</v>
      </c>
      <c r="O713" s="1">
        <f>(ordersTable[[#This Row],[Quantity]]*ordersTable[[#This Row],[UnitPrice]])-ordersTable[[#This Row],[TotalPrice]]</f>
        <v>0</v>
      </c>
    </row>
    <row r="714" spans="1:15" x14ac:dyDescent="0.3">
      <c r="A714" s="1" t="s">
        <v>726</v>
      </c>
      <c r="B714" s="2">
        <v>45300</v>
      </c>
      <c r="C714" s="3" t="s">
        <v>1771</v>
      </c>
      <c r="D714" s="1" t="s">
        <v>2405</v>
      </c>
      <c r="E714" s="5">
        <v>2</v>
      </c>
      <c r="F714" s="4">
        <v>68.400000000000006</v>
      </c>
      <c r="G714" s="1" t="s">
        <v>2887</v>
      </c>
      <c r="H714" s="1" t="s">
        <v>3068</v>
      </c>
      <c r="I714" s="1" t="s">
        <v>3074</v>
      </c>
      <c r="J714" s="1" t="s">
        <v>3787</v>
      </c>
      <c r="K714" s="1">
        <v>7</v>
      </c>
      <c r="L714" s="1" t="s">
        <v>4276</v>
      </c>
      <c r="M714" s="1" t="s">
        <v>4280</v>
      </c>
      <c r="N714" s="1">
        <v>136.80000000000001</v>
      </c>
      <c r="O714" s="1">
        <f>(ordersTable[[#This Row],[Quantity]]*ordersTable[[#This Row],[UnitPrice]])-ordersTable[[#This Row],[TotalPrice]]</f>
        <v>0</v>
      </c>
    </row>
    <row r="715" spans="1:15" x14ac:dyDescent="0.3">
      <c r="A715" s="1" t="s">
        <v>727</v>
      </c>
      <c r="B715" s="2">
        <v>45829</v>
      </c>
      <c r="C715" s="3" t="s">
        <v>1924</v>
      </c>
      <c r="D715" s="1" t="s">
        <v>2405</v>
      </c>
      <c r="E715" s="5">
        <v>4</v>
      </c>
      <c r="F715" s="4">
        <v>532.49</v>
      </c>
      <c r="G715" s="1" t="s">
        <v>2873</v>
      </c>
      <c r="H715" s="1" t="s">
        <v>3066</v>
      </c>
      <c r="I715" s="1" t="s">
        <v>3071</v>
      </c>
      <c r="J715" s="1" t="s">
        <v>3788</v>
      </c>
      <c r="K715" s="1">
        <v>6</v>
      </c>
      <c r="L715" s="1" t="s">
        <v>4275</v>
      </c>
      <c r="M715" s="1" t="s">
        <v>4281</v>
      </c>
      <c r="N715" s="1">
        <v>2129.96</v>
      </c>
      <c r="O715" s="1">
        <f>(ordersTable[[#This Row],[Quantity]]*ordersTable[[#This Row],[UnitPrice]])-ordersTable[[#This Row],[TotalPrice]]</f>
        <v>0</v>
      </c>
    </row>
    <row r="716" spans="1:15" x14ac:dyDescent="0.3">
      <c r="A716" s="1" t="s">
        <v>728</v>
      </c>
      <c r="B716" s="2">
        <v>45037</v>
      </c>
      <c r="C716" s="3" t="s">
        <v>1925</v>
      </c>
      <c r="D716" s="1" t="s">
        <v>2408</v>
      </c>
      <c r="E716" s="5">
        <v>1</v>
      </c>
      <c r="F716" s="4">
        <v>51.73</v>
      </c>
      <c r="G716" s="1" t="s">
        <v>2660</v>
      </c>
      <c r="H716" s="1" t="s">
        <v>3065</v>
      </c>
      <c r="I716" s="1" t="s">
        <v>3074</v>
      </c>
      <c r="J716" s="1" t="s">
        <v>3789</v>
      </c>
      <c r="K716" s="1">
        <v>1</v>
      </c>
      <c r="L716" s="1" t="s">
        <v>4276</v>
      </c>
      <c r="M716" s="1" t="s">
        <v>4281</v>
      </c>
      <c r="N716" s="1">
        <v>51.73</v>
      </c>
      <c r="O716" s="1">
        <f>(ordersTable[[#This Row],[Quantity]]*ordersTable[[#This Row],[UnitPrice]])-ordersTable[[#This Row],[TotalPrice]]</f>
        <v>0</v>
      </c>
    </row>
    <row r="717" spans="1:15" x14ac:dyDescent="0.3">
      <c r="A717" s="1" t="s">
        <v>729</v>
      </c>
      <c r="B717" s="2">
        <v>45499</v>
      </c>
      <c r="C717" s="3" t="s">
        <v>1926</v>
      </c>
      <c r="D717" s="1" t="s">
        <v>2407</v>
      </c>
      <c r="E717" s="5">
        <v>3</v>
      </c>
      <c r="F717" s="4">
        <v>653.63</v>
      </c>
      <c r="G717" s="1" t="s">
        <v>2888</v>
      </c>
      <c r="H717" s="1" t="s">
        <v>3066</v>
      </c>
      <c r="I717" s="1" t="s">
        <v>3073</v>
      </c>
      <c r="J717" s="1" t="s">
        <v>3790</v>
      </c>
      <c r="K717" s="1">
        <v>7</v>
      </c>
      <c r="L717" s="1" t="s">
        <v>4276</v>
      </c>
      <c r="M717" s="1" t="s">
        <v>4280</v>
      </c>
      <c r="N717" s="1">
        <v>1960.89</v>
      </c>
      <c r="O717" s="1">
        <f>(ordersTable[[#This Row],[Quantity]]*ordersTable[[#This Row],[UnitPrice]])-ordersTable[[#This Row],[TotalPrice]]</f>
        <v>0</v>
      </c>
    </row>
    <row r="718" spans="1:15" x14ac:dyDescent="0.3">
      <c r="A718" s="1" t="s">
        <v>730</v>
      </c>
      <c r="B718" s="2">
        <v>45456</v>
      </c>
      <c r="C718" s="3" t="s">
        <v>1927</v>
      </c>
      <c r="D718" s="1" t="s">
        <v>2406</v>
      </c>
      <c r="E718" s="5">
        <v>3</v>
      </c>
      <c r="F718" s="4">
        <v>454.29</v>
      </c>
      <c r="G718" s="1" t="s">
        <v>2428</v>
      </c>
      <c r="H718" s="1" t="s">
        <v>3067</v>
      </c>
      <c r="I718" s="1" t="s">
        <v>3074</v>
      </c>
      <c r="J718" s="1" t="s">
        <v>3791</v>
      </c>
      <c r="K718" s="1">
        <v>4</v>
      </c>
      <c r="L718" s="1" t="s">
        <v>4277</v>
      </c>
      <c r="M718" s="1" t="s">
        <v>4282</v>
      </c>
      <c r="N718" s="1">
        <v>1362.87</v>
      </c>
      <c r="O718" s="1">
        <f>(ordersTable[[#This Row],[Quantity]]*ordersTable[[#This Row],[UnitPrice]])-ordersTable[[#This Row],[TotalPrice]]</f>
        <v>0</v>
      </c>
    </row>
    <row r="719" spans="1:15" x14ac:dyDescent="0.3">
      <c r="A719" s="1" t="s">
        <v>731</v>
      </c>
      <c r="B719" s="2">
        <v>45215</v>
      </c>
      <c r="C719" s="3" t="s">
        <v>1928</v>
      </c>
      <c r="D719" s="1" t="s">
        <v>2406</v>
      </c>
      <c r="E719" s="5">
        <v>3</v>
      </c>
      <c r="F719" s="4">
        <v>122.11</v>
      </c>
      <c r="G719" s="1" t="s">
        <v>2889</v>
      </c>
      <c r="H719" s="1" t="s">
        <v>3066</v>
      </c>
      <c r="I719" s="1" t="s">
        <v>3073</v>
      </c>
      <c r="J719" s="1" t="s">
        <v>3792</v>
      </c>
      <c r="K719" s="1">
        <v>4</v>
      </c>
      <c r="L719" s="1" t="s">
        <v>4277</v>
      </c>
      <c r="M719" s="1" t="s">
        <v>4280</v>
      </c>
      <c r="N719" s="1">
        <v>366.33</v>
      </c>
      <c r="O719" s="1">
        <f>(ordersTable[[#This Row],[Quantity]]*ordersTable[[#This Row],[UnitPrice]])-ordersTable[[#This Row],[TotalPrice]]</f>
        <v>0</v>
      </c>
    </row>
    <row r="720" spans="1:15" x14ac:dyDescent="0.3">
      <c r="A720" s="1" t="s">
        <v>732</v>
      </c>
      <c r="B720" s="2">
        <v>45024</v>
      </c>
      <c r="C720" s="3" t="s">
        <v>1929</v>
      </c>
      <c r="D720" s="1" t="s">
        <v>2408</v>
      </c>
      <c r="E720" s="5">
        <v>4</v>
      </c>
      <c r="F720" s="4">
        <v>64.739999999999995</v>
      </c>
      <c r="G720" s="1" t="s">
        <v>2890</v>
      </c>
      <c r="H720" s="1" t="s">
        <v>3068</v>
      </c>
      <c r="I720" s="1" t="s">
        <v>3071</v>
      </c>
      <c r="J720" s="1" t="s">
        <v>3793</v>
      </c>
      <c r="K720" s="1">
        <v>8</v>
      </c>
      <c r="L720" s="1" t="s">
        <v>4275</v>
      </c>
      <c r="M720" s="1" t="s">
        <v>4282</v>
      </c>
      <c r="N720" s="1">
        <v>258.95999999999998</v>
      </c>
      <c r="O720" s="1">
        <f>(ordersTable[[#This Row],[Quantity]]*ordersTable[[#This Row],[UnitPrice]])-ordersTable[[#This Row],[TotalPrice]]</f>
        <v>0</v>
      </c>
    </row>
    <row r="721" spans="1:15" x14ac:dyDescent="0.3">
      <c r="A721" s="1" t="s">
        <v>733</v>
      </c>
      <c r="B721" s="2">
        <v>45312</v>
      </c>
      <c r="C721" s="3" t="s">
        <v>1930</v>
      </c>
      <c r="D721" s="1" t="s">
        <v>2408</v>
      </c>
      <c r="E721" s="5">
        <v>2</v>
      </c>
      <c r="F721" s="4">
        <v>681.06</v>
      </c>
      <c r="G721" s="1" t="s">
        <v>2891</v>
      </c>
      <c r="H721" s="1" t="s">
        <v>3065</v>
      </c>
      <c r="I721" s="1" t="s">
        <v>3070</v>
      </c>
      <c r="J721" s="1" t="s">
        <v>3794</v>
      </c>
      <c r="K721" s="1">
        <v>3</v>
      </c>
      <c r="L721" s="1" t="s">
        <v>4276</v>
      </c>
      <c r="M721" s="1" t="s">
        <v>4281</v>
      </c>
      <c r="N721" s="1">
        <v>1362.12</v>
      </c>
      <c r="O721" s="1">
        <f>(ordersTable[[#This Row],[Quantity]]*ordersTable[[#This Row],[UnitPrice]])-ordersTable[[#This Row],[TotalPrice]]</f>
        <v>0</v>
      </c>
    </row>
    <row r="722" spans="1:15" x14ac:dyDescent="0.3">
      <c r="A722" s="1" t="s">
        <v>734</v>
      </c>
      <c r="B722" s="2">
        <v>45190</v>
      </c>
      <c r="C722" s="3" t="s">
        <v>1931</v>
      </c>
      <c r="D722" s="1" t="s">
        <v>2409</v>
      </c>
      <c r="E722" s="5">
        <v>5</v>
      </c>
      <c r="F722" s="4">
        <v>128.94999999999999</v>
      </c>
      <c r="G722" s="1" t="s">
        <v>2892</v>
      </c>
      <c r="H722" s="1" t="s">
        <v>3069</v>
      </c>
      <c r="I722" s="1" t="s">
        <v>3074</v>
      </c>
      <c r="J722" s="1" t="s">
        <v>3795</v>
      </c>
      <c r="K722" s="1">
        <v>10</v>
      </c>
      <c r="L722" s="1" t="s">
        <v>4276</v>
      </c>
      <c r="M722" s="1" t="s">
        <v>4278</v>
      </c>
      <c r="N722" s="1">
        <v>644.75</v>
      </c>
      <c r="O722" s="1">
        <f>(ordersTable[[#This Row],[Quantity]]*ordersTable[[#This Row],[UnitPrice]])-ordersTable[[#This Row],[TotalPrice]]</f>
        <v>0</v>
      </c>
    </row>
    <row r="723" spans="1:15" x14ac:dyDescent="0.3">
      <c r="A723" s="1" t="s">
        <v>735</v>
      </c>
      <c r="B723" s="2">
        <v>45369</v>
      </c>
      <c r="C723" s="3" t="s">
        <v>1932</v>
      </c>
      <c r="D723" s="1" t="s">
        <v>2409</v>
      </c>
      <c r="E723" s="5">
        <v>2</v>
      </c>
      <c r="F723" s="4">
        <v>118.59</v>
      </c>
      <c r="G723" s="1" t="s">
        <v>2893</v>
      </c>
      <c r="H723" s="1" t="s">
        <v>3067</v>
      </c>
      <c r="I723" s="1" t="s">
        <v>3073</v>
      </c>
      <c r="J723" s="1" t="s">
        <v>3796</v>
      </c>
      <c r="K723" s="1">
        <v>2</v>
      </c>
      <c r="M723" s="1" t="s">
        <v>4280</v>
      </c>
      <c r="N723" s="1">
        <v>237.18</v>
      </c>
      <c r="O723" s="1">
        <f>(ordersTable[[#This Row],[Quantity]]*ordersTable[[#This Row],[UnitPrice]])-ordersTable[[#This Row],[TotalPrice]]</f>
        <v>0</v>
      </c>
    </row>
    <row r="724" spans="1:15" x14ac:dyDescent="0.3">
      <c r="A724" s="1" t="s">
        <v>736</v>
      </c>
      <c r="B724" s="2">
        <v>45611</v>
      </c>
      <c r="C724" s="3" t="s">
        <v>1933</v>
      </c>
      <c r="D724" s="1" t="s">
        <v>2407</v>
      </c>
      <c r="E724" s="5">
        <v>1</v>
      </c>
      <c r="F724" s="4">
        <v>95.1</v>
      </c>
      <c r="G724" s="1" t="s">
        <v>2654</v>
      </c>
      <c r="H724" s="1" t="s">
        <v>3068</v>
      </c>
      <c r="I724" s="1" t="s">
        <v>3074</v>
      </c>
      <c r="J724" s="1" t="s">
        <v>3797</v>
      </c>
      <c r="K724" s="1">
        <v>1</v>
      </c>
      <c r="L724" s="1" t="s">
        <v>4277</v>
      </c>
      <c r="M724" s="1" t="s">
        <v>4278</v>
      </c>
      <c r="N724" s="1">
        <v>95.1</v>
      </c>
      <c r="O724" s="1">
        <f>(ordersTable[[#This Row],[Quantity]]*ordersTable[[#This Row],[UnitPrice]])-ordersTable[[#This Row],[TotalPrice]]</f>
        <v>0</v>
      </c>
    </row>
    <row r="725" spans="1:15" x14ac:dyDescent="0.3">
      <c r="A725" s="1" t="s">
        <v>737</v>
      </c>
      <c r="B725" s="2">
        <v>45269</v>
      </c>
      <c r="C725" s="3" t="s">
        <v>1934</v>
      </c>
      <c r="D725" s="1" t="s">
        <v>2409</v>
      </c>
      <c r="E725" s="5">
        <v>3</v>
      </c>
      <c r="F725" s="4">
        <v>54.95</v>
      </c>
      <c r="G725" s="1" t="s">
        <v>2471</v>
      </c>
      <c r="H725" s="1" t="s">
        <v>3069</v>
      </c>
      <c r="I725" s="1" t="s">
        <v>3072</v>
      </c>
      <c r="J725" s="1" t="s">
        <v>3798</v>
      </c>
      <c r="K725" s="1">
        <v>8</v>
      </c>
      <c r="L725" s="1" t="s">
        <v>4275</v>
      </c>
      <c r="M725" s="1" t="s">
        <v>4279</v>
      </c>
      <c r="N725" s="1">
        <v>164.85</v>
      </c>
      <c r="O725" s="1">
        <f>(ordersTable[[#This Row],[Quantity]]*ordersTable[[#This Row],[UnitPrice]])-ordersTable[[#This Row],[TotalPrice]]</f>
        <v>0</v>
      </c>
    </row>
    <row r="726" spans="1:15" x14ac:dyDescent="0.3">
      <c r="A726" s="1" t="s">
        <v>738</v>
      </c>
      <c r="B726" s="2">
        <v>45583</v>
      </c>
      <c r="C726" s="3" t="s">
        <v>1935</v>
      </c>
      <c r="D726" s="1" t="s">
        <v>2407</v>
      </c>
      <c r="E726" s="5">
        <v>3</v>
      </c>
      <c r="F726" s="4">
        <v>136.97</v>
      </c>
      <c r="G726" s="1" t="s">
        <v>2667</v>
      </c>
      <c r="H726" s="1" t="s">
        <v>3067</v>
      </c>
      <c r="I726" s="1" t="s">
        <v>3072</v>
      </c>
      <c r="J726" s="1" t="s">
        <v>3799</v>
      </c>
      <c r="K726" s="1">
        <v>4</v>
      </c>
      <c r="L726" s="1" t="s">
        <v>4276</v>
      </c>
      <c r="M726" s="1" t="s">
        <v>4279</v>
      </c>
      <c r="N726" s="1">
        <v>410.91</v>
      </c>
      <c r="O726" s="1">
        <f>(ordersTable[[#This Row],[Quantity]]*ordersTable[[#This Row],[UnitPrice]])-ordersTable[[#This Row],[TotalPrice]]</f>
        <v>0</v>
      </c>
    </row>
    <row r="727" spans="1:15" x14ac:dyDescent="0.3">
      <c r="A727" s="1" t="s">
        <v>739</v>
      </c>
      <c r="B727" s="2">
        <v>44997</v>
      </c>
      <c r="C727" s="3" t="s">
        <v>1936</v>
      </c>
      <c r="D727" s="1" t="s">
        <v>2406</v>
      </c>
      <c r="E727" s="5">
        <v>2</v>
      </c>
      <c r="F727" s="4">
        <v>194.85</v>
      </c>
      <c r="G727" s="1" t="s">
        <v>2787</v>
      </c>
      <c r="H727" s="1" t="s">
        <v>3068</v>
      </c>
      <c r="I727" s="1" t="s">
        <v>3072</v>
      </c>
      <c r="J727" s="1" t="s">
        <v>3800</v>
      </c>
      <c r="K727" s="1">
        <v>5</v>
      </c>
      <c r="M727" s="1" t="s">
        <v>4279</v>
      </c>
      <c r="N727" s="1">
        <v>389.7</v>
      </c>
      <c r="O727" s="1">
        <f>(ordersTable[[#This Row],[Quantity]]*ordersTable[[#This Row],[UnitPrice]])-ordersTable[[#This Row],[TotalPrice]]</f>
        <v>0</v>
      </c>
    </row>
    <row r="728" spans="1:15" x14ac:dyDescent="0.3">
      <c r="A728" s="1" t="s">
        <v>740</v>
      </c>
      <c r="B728" s="2">
        <v>45590</v>
      </c>
      <c r="C728" s="3" t="s">
        <v>1937</v>
      </c>
      <c r="D728" s="1" t="s">
        <v>2408</v>
      </c>
      <c r="E728" s="5">
        <v>4</v>
      </c>
      <c r="F728" s="4">
        <v>583.02</v>
      </c>
      <c r="G728" s="1" t="s">
        <v>2894</v>
      </c>
      <c r="H728" s="1" t="s">
        <v>3066</v>
      </c>
      <c r="I728" s="1" t="s">
        <v>3073</v>
      </c>
      <c r="J728" s="1" t="s">
        <v>3801</v>
      </c>
      <c r="K728" s="1">
        <v>4</v>
      </c>
      <c r="L728" s="1" t="s">
        <v>4276</v>
      </c>
      <c r="M728" s="1" t="s">
        <v>4281</v>
      </c>
      <c r="N728" s="1">
        <v>2332.08</v>
      </c>
      <c r="O728" s="1">
        <f>(ordersTable[[#This Row],[Quantity]]*ordersTable[[#This Row],[UnitPrice]])-ordersTable[[#This Row],[TotalPrice]]</f>
        <v>0</v>
      </c>
    </row>
    <row r="729" spans="1:15" x14ac:dyDescent="0.3">
      <c r="A729" s="1" t="s">
        <v>741</v>
      </c>
      <c r="B729" s="2">
        <v>45564</v>
      </c>
      <c r="C729" s="3" t="s">
        <v>1938</v>
      </c>
      <c r="D729" s="1" t="s">
        <v>2406</v>
      </c>
      <c r="E729" s="5">
        <v>5</v>
      </c>
      <c r="F729" s="4">
        <v>95.75</v>
      </c>
      <c r="G729" s="1" t="s">
        <v>2748</v>
      </c>
      <c r="H729" s="1" t="s">
        <v>3066</v>
      </c>
      <c r="I729" s="1" t="s">
        <v>3070</v>
      </c>
      <c r="J729" s="1" t="s">
        <v>3802</v>
      </c>
      <c r="K729" s="1">
        <v>8</v>
      </c>
      <c r="L729" s="1" t="s">
        <v>4275</v>
      </c>
      <c r="M729" s="1" t="s">
        <v>4278</v>
      </c>
      <c r="N729" s="1">
        <v>478.75</v>
      </c>
      <c r="O729" s="1">
        <f>(ordersTable[[#This Row],[Quantity]]*ordersTable[[#This Row],[UnitPrice]])-ordersTable[[#This Row],[TotalPrice]]</f>
        <v>0</v>
      </c>
    </row>
    <row r="730" spans="1:15" x14ac:dyDescent="0.3">
      <c r="A730" s="1" t="s">
        <v>742</v>
      </c>
      <c r="B730" s="2">
        <v>45502</v>
      </c>
      <c r="C730" s="3" t="s">
        <v>1939</v>
      </c>
      <c r="D730" s="1" t="s">
        <v>2409</v>
      </c>
      <c r="E730" s="5">
        <v>4</v>
      </c>
      <c r="F730" s="4">
        <v>325.76</v>
      </c>
      <c r="G730" s="1" t="s">
        <v>2895</v>
      </c>
      <c r="H730" s="1" t="s">
        <v>3068</v>
      </c>
      <c r="I730" s="1" t="s">
        <v>3070</v>
      </c>
      <c r="J730" s="1" t="s">
        <v>3803</v>
      </c>
      <c r="K730" s="1">
        <v>8</v>
      </c>
      <c r="L730" s="1" t="s">
        <v>4277</v>
      </c>
      <c r="M730" s="1" t="s">
        <v>4280</v>
      </c>
      <c r="N730" s="1">
        <v>1303.04</v>
      </c>
      <c r="O730" s="1">
        <f>(ordersTable[[#This Row],[Quantity]]*ordersTable[[#This Row],[UnitPrice]])-ordersTable[[#This Row],[TotalPrice]]</f>
        <v>0</v>
      </c>
    </row>
    <row r="731" spans="1:15" x14ac:dyDescent="0.3">
      <c r="A731" s="1" t="s">
        <v>743</v>
      </c>
      <c r="B731" s="2">
        <v>45177</v>
      </c>
      <c r="C731" s="3" t="s">
        <v>1940</v>
      </c>
      <c r="D731" s="1" t="s">
        <v>2404</v>
      </c>
      <c r="E731" s="5">
        <v>4</v>
      </c>
      <c r="F731" s="4">
        <v>186.41</v>
      </c>
      <c r="G731" s="1" t="s">
        <v>2555</v>
      </c>
      <c r="H731" s="1" t="s">
        <v>3068</v>
      </c>
      <c r="I731" s="1" t="s">
        <v>3074</v>
      </c>
      <c r="J731" s="1" t="s">
        <v>3804</v>
      </c>
      <c r="K731" s="1">
        <v>6</v>
      </c>
      <c r="L731" s="1" t="s">
        <v>4275</v>
      </c>
      <c r="M731" s="1" t="s">
        <v>4282</v>
      </c>
      <c r="N731" s="1">
        <v>745.64</v>
      </c>
      <c r="O731" s="1">
        <f>(ordersTable[[#This Row],[Quantity]]*ordersTable[[#This Row],[UnitPrice]])-ordersTable[[#This Row],[TotalPrice]]</f>
        <v>0</v>
      </c>
    </row>
    <row r="732" spans="1:15" x14ac:dyDescent="0.3">
      <c r="A732" s="1" t="s">
        <v>744</v>
      </c>
      <c r="B732" s="2">
        <v>45710</v>
      </c>
      <c r="C732" s="3" t="s">
        <v>1941</v>
      </c>
      <c r="D732" s="1" t="s">
        <v>2404</v>
      </c>
      <c r="E732" s="5">
        <v>1</v>
      </c>
      <c r="F732" s="4">
        <v>474.6</v>
      </c>
      <c r="G732" s="1" t="s">
        <v>2618</v>
      </c>
      <c r="H732" s="1" t="s">
        <v>3065</v>
      </c>
      <c r="I732" s="1" t="s">
        <v>3073</v>
      </c>
      <c r="J732" s="1" t="s">
        <v>3805</v>
      </c>
      <c r="K732" s="1">
        <v>4</v>
      </c>
      <c r="L732" s="1" t="s">
        <v>4275</v>
      </c>
      <c r="M732" s="1" t="s">
        <v>4280</v>
      </c>
      <c r="N732" s="1">
        <v>474.6</v>
      </c>
      <c r="O732" s="1">
        <f>(ordersTable[[#This Row],[Quantity]]*ordersTable[[#This Row],[UnitPrice]])-ordersTable[[#This Row],[TotalPrice]]</f>
        <v>0</v>
      </c>
    </row>
    <row r="733" spans="1:15" x14ac:dyDescent="0.3">
      <c r="A733" s="1" t="s">
        <v>745</v>
      </c>
      <c r="B733" s="2">
        <v>45450</v>
      </c>
      <c r="C733" s="3" t="s">
        <v>1942</v>
      </c>
      <c r="D733" s="1" t="s">
        <v>2407</v>
      </c>
      <c r="E733" s="5">
        <v>5</v>
      </c>
      <c r="F733" s="4">
        <v>584.46</v>
      </c>
      <c r="G733" s="1" t="s">
        <v>2896</v>
      </c>
      <c r="H733" s="1" t="s">
        <v>3067</v>
      </c>
      <c r="I733" s="1" t="s">
        <v>3072</v>
      </c>
      <c r="J733" s="1" t="s">
        <v>3806</v>
      </c>
      <c r="K733" s="1">
        <v>8</v>
      </c>
      <c r="M733" s="1" t="s">
        <v>4280</v>
      </c>
      <c r="N733" s="1">
        <v>2922.3</v>
      </c>
      <c r="O733" s="1">
        <f>(ordersTable[[#This Row],[Quantity]]*ordersTable[[#This Row],[UnitPrice]])-ordersTable[[#This Row],[TotalPrice]]</f>
        <v>0</v>
      </c>
    </row>
    <row r="734" spans="1:15" x14ac:dyDescent="0.3">
      <c r="A734" s="1" t="s">
        <v>746</v>
      </c>
      <c r="B734" s="2">
        <v>45723</v>
      </c>
      <c r="C734" s="3" t="s">
        <v>1943</v>
      </c>
      <c r="D734" s="1" t="s">
        <v>2408</v>
      </c>
      <c r="E734" s="5">
        <v>1</v>
      </c>
      <c r="F734" s="4">
        <v>132.05000000000001</v>
      </c>
      <c r="G734" s="1" t="s">
        <v>2876</v>
      </c>
      <c r="H734" s="1" t="s">
        <v>3066</v>
      </c>
      <c r="I734" s="1" t="s">
        <v>3073</v>
      </c>
      <c r="J734" s="1" t="s">
        <v>3807</v>
      </c>
      <c r="K734" s="1">
        <v>2</v>
      </c>
      <c r="M734" s="1" t="s">
        <v>4282</v>
      </c>
      <c r="N734" s="1">
        <v>132.05000000000001</v>
      </c>
      <c r="O734" s="1">
        <f>(ordersTable[[#This Row],[Quantity]]*ordersTable[[#This Row],[UnitPrice]])-ordersTable[[#This Row],[TotalPrice]]</f>
        <v>0</v>
      </c>
    </row>
    <row r="735" spans="1:15" x14ac:dyDescent="0.3">
      <c r="A735" s="1" t="s">
        <v>747</v>
      </c>
      <c r="B735" s="2">
        <v>45264</v>
      </c>
      <c r="C735" s="3" t="s">
        <v>1944</v>
      </c>
      <c r="D735" s="1" t="s">
        <v>2405</v>
      </c>
      <c r="E735" s="5">
        <v>4</v>
      </c>
      <c r="F735" s="4">
        <v>494.84</v>
      </c>
      <c r="G735" s="1" t="s">
        <v>2869</v>
      </c>
      <c r="H735" s="1" t="s">
        <v>3069</v>
      </c>
      <c r="I735" s="1" t="s">
        <v>3072</v>
      </c>
      <c r="J735" s="1" t="s">
        <v>3808</v>
      </c>
      <c r="K735" s="1">
        <v>8</v>
      </c>
      <c r="L735" s="1" t="s">
        <v>4275</v>
      </c>
      <c r="M735" s="1" t="s">
        <v>4280</v>
      </c>
      <c r="N735" s="1">
        <v>1979.36</v>
      </c>
      <c r="O735" s="1">
        <f>(ordersTable[[#This Row],[Quantity]]*ordersTable[[#This Row],[UnitPrice]])-ordersTable[[#This Row],[TotalPrice]]</f>
        <v>0</v>
      </c>
    </row>
    <row r="736" spans="1:15" x14ac:dyDescent="0.3">
      <c r="A736" s="1" t="s">
        <v>748</v>
      </c>
      <c r="B736" s="2">
        <v>45314</v>
      </c>
      <c r="C736" s="3" t="s">
        <v>1945</v>
      </c>
      <c r="D736" s="1" t="s">
        <v>2407</v>
      </c>
      <c r="E736" s="5">
        <v>4</v>
      </c>
      <c r="F736" s="4">
        <v>224.61</v>
      </c>
      <c r="G736" s="1" t="s">
        <v>2655</v>
      </c>
      <c r="H736" s="1" t="s">
        <v>3067</v>
      </c>
      <c r="I736" s="1" t="s">
        <v>3072</v>
      </c>
      <c r="J736" s="1" t="s">
        <v>3809</v>
      </c>
      <c r="K736" s="1">
        <v>6</v>
      </c>
      <c r="L736" s="1" t="s">
        <v>4277</v>
      </c>
      <c r="M736" s="1" t="s">
        <v>4281</v>
      </c>
      <c r="N736" s="1">
        <v>898.44</v>
      </c>
      <c r="O736" s="1">
        <f>(ordersTable[[#This Row],[Quantity]]*ordersTable[[#This Row],[UnitPrice]])-ordersTable[[#This Row],[TotalPrice]]</f>
        <v>0</v>
      </c>
    </row>
    <row r="737" spans="1:15" x14ac:dyDescent="0.3">
      <c r="A737" s="1" t="s">
        <v>749</v>
      </c>
      <c r="B737" s="2">
        <v>45471</v>
      </c>
      <c r="C737" s="3" t="s">
        <v>1946</v>
      </c>
      <c r="D737" s="1" t="s">
        <v>2403</v>
      </c>
      <c r="E737" s="5">
        <v>4</v>
      </c>
      <c r="F737" s="4">
        <v>44.07</v>
      </c>
      <c r="G737" s="1" t="s">
        <v>2729</v>
      </c>
      <c r="H737" s="1" t="s">
        <v>3065</v>
      </c>
      <c r="I737" s="1" t="s">
        <v>3074</v>
      </c>
      <c r="J737" s="1" t="s">
        <v>3810</v>
      </c>
      <c r="K737" s="1">
        <v>6</v>
      </c>
      <c r="M737" s="1" t="s">
        <v>4280</v>
      </c>
      <c r="N737" s="1">
        <v>176.28</v>
      </c>
      <c r="O737" s="1">
        <f>(ordersTable[[#This Row],[Quantity]]*ordersTable[[#This Row],[UnitPrice]])-ordersTable[[#This Row],[TotalPrice]]</f>
        <v>0</v>
      </c>
    </row>
    <row r="738" spans="1:15" x14ac:dyDescent="0.3">
      <c r="A738" s="1" t="s">
        <v>750</v>
      </c>
      <c r="B738" s="2">
        <v>45331</v>
      </c>
      <c r="C738" s="3" t="s">
        <v>1947</v>
      </c>
      <c r="D738" s="1" t="s">
        <v>2403</v>
      </c>
      <c r="E738" s="5">
        <v>5</v>
      </c>
      <c r="F738" s="4">
        <v>418.53</v>
      </c>
      <c r="G738" s="1" t="s">
        <v>2796</v>
      </c>
      <c r="H738" s="1" t="s">
        <v>3067</v>
      </c>
      <c r="I738" s="1" t="s">
        <v>3074</v>
      </c>
      <c r="J738" s="1" t="s">
        <v>3811</v>
      </c>
      <c r="K738" s="1">
        <v>6</v>
      </c>
      <c r="L738" s="1" t="s">
        <v>4276</v>
      </c>
      <c r="M738" s="1" t="s">
        <v>4282</v>
      </c>
      <c r="N738" s="1">
        <v>2092.65</v>
      </c>
      <c r="O738" s="1">
        <f>(ordersTable[[#This Row],[Quantity]]*ordersTable[[#This Row],[UnitPrice]])-ordersTable[[#This Row],[TotalPrice]]</f>
        <v>0</v>
      </c>
    </row>
    <row r="739" spans="1:15" x14ac:dyDescent="0.3">
      <c r="A739" s="1" t="s">
        <v>751</v>
      </c>
      <c r="B739" s="2">
        <v>45294</v>
      </c>
      <c r="C739" s="3" t="s">
        <v>1948</v>
      </c>
      <c r="D739" s="1" t="s">
        <v>2404</v>
      </c>
      <c r="E739" s="5">
        <v>4</v>
      </c>
      <c r="F739" s="4">
        <v>532.87</v>
      </c>
      <c r="G739" s="1" t="s">
        <v>2897</v>
      </c>
      <c r="H739" s="1" t="s">
        <v>3069</v>
      </c>
      <c r="I739" s="1" t="s">
        <v>3074</v>
      </c>
      <c r="J739" s="1" t="s">
        <v>3812</v>
      </c>
      <c r="K739" s="1">
        <v>9</v>
      </c>
      <c r="L739" s="1" t="s">
        <v>4276</v>
      </c>
      <c r="M739" s="1" t="s">
        <v>4278</v>
      </c>
      <c r="N739" s="1">
        <v>2131.48</v>
      </c>
      <c r="O739" s="1">
        <f>(ordersTable[[#This Row],[Quantity]]*ordersTable[[#This Row],[UnitPrice]])-ordersTable[[#This Row],[TotalPrice]]</f>
        <v>0</v>
      </c>
    </row>
    <row r="740" spans="1:15" x14ac:dyDescent="0.3">
      <c r="A740" s="1" t="s">
        <v>752</v>
      </c>
      <c r="B740" s="2">
        <v>45812</v>
      </c>
      <c r="C740" s="3" t="s">
        <v>1949</v>
      </c>
      <c r="D740" s="1" t="s">
        <v>2404</v>
      </c>
      <c r="E740" s="5">
        <v>2</v>
      </c>
      <c r="F740" s="4">
        <v>485.37</v>
      </c>
      <c r="G740" s="1" t="s">
        <v>2898</v>
      </c>
      <c r="H740" s="1" t="s">
        <v>3067</v>
      </c>
      <c r="I740" s="1" t="s">
        <v>3070</v>
      </c>
      <c r="J740" s="1" t="s">
        <v>3813</v>
      </c>
      <c r="K740" s="1">
        <v>5</v>
      </c>
      <c r="L740" s="1" t="s">
        <v>4275</v>
      </c>
      <c r="M740" s="1" t="s">
        <v>4280</v>
      </c>
      <c r="N740" s="1">
        <v>970.74</v>
      </c>
      <c r="O740" s="1">
        <f>(ordersTable[[#This Row],[Quantity]]*ordersTable[[#This Row],[UnitPrice]])-ordersTable[[#This Row],[TotalPrice]]</f>
        <v>0</v>
      </c>
    </row>
    <row r="741" spans="1:15" x14ac:dyDescent="0.3">
      <c r="A741" s="1" t="s">
        <v>753</v>
      </c>
      <c r="B741" s="2">
        <v>45456</v>
      </c>
      <c r="C741" s="3" t="s">
        <v>1950</v>
      </c>
      <c r="D741" s="1" t="s">
        <v>2404</v>
      </c>
      <c r="E741" s="5">
        <v>4</v>
      </c>
      <c r="F741" s="4">
        <v>386.73</v>
      </c>
      <c r="G741" s="1" t="s">
        <v>2532</v>
      </c>
      <c r="H741" s="1" t="s">
        <v>3069</v>
      </c>
      <c r="I741" s="1" t="s">
        <v>3073</v>
      </c>
      <c r="J741" s="1" t="s">
        <v>3814</v>
      </c>
      <c r="K741" s="1">
        <v>4</v>
      </c>
      <c r="L741" s="1" t="s">
        <v>4275</v>
      </c>
      <c r="M741" s="1" t="s">
        <v>4281</v>
      </c>
      <c r="N741" s="1">
        <v>1546.92</v>
      </c>
      <c r="O741" s="1">
        <f>(ordersTable[[#This Row],[Quantity]]*ordersTable[[#This Row],[UnitPrice]])-ordersTable[[#This Row],[TotalPrice]]</f>
        <v>0</v>
      </c>
    </row>
    <row r="742" spans="1:15" x14ac:dyDescent="0.3">
      <c r="A742" s="1" t="s">
        <v>754</v>
      </c>
      <c r="B742" s="2">
        <v>45493</v>
      </c>
      <c r="C742" s="3" t="s">
        <v>1951</v>
      </c>
      <c r="D742" s="1" t="s">
        <v>2409</v>
      </c>
      <c r="E742" s="5">
        <v>2</v>
      </c>
      <c r="F742" s="4">
        <v>377.47</v>
      </c>
      <c r="G742" s="1" t="s">
        <v>2749</v>
      </c>
      <c r="H742" s="1" t="s">
        <v>3069</v>
      </c>
      <c r="I742" s="1" t="s">
        <v>3074</v>
      </c>
      <c r="J742" s="1" t="s">
        <v>3815</v>
      </c>
      <c r="K742" s="1">
        <v>7</v>
      </c>
      <c r="M742" s="1" t="s">
        <v>4282</v>
      </c>
      <c r="N742" s="1">
        <v>754.94</v>
      </c>
      <c r="O742" s="1">
        <f>(ordersTable[[#This Row],[Quantity]]*ordersTable[[#This Row],[UnitPrice]])-ordersTable[[#This Row],[TotalPrice]]</f>
        <v>0</v>
      </c>
    </row>
    <row r="743" spans="1:15" x14ac:dyDescent="0.3">
      <c r="A743" s="1" t="s">
        <v>755</v>
      </c>
      <c r="B743" s="2">
        <v>45680</v>
      </c>
      <c r="C743" s="3" t="s">
        <v>1952</v>
      </c>
      <c r="D743" s="1" t="s">
        <v>2403</v>
      </c>
      <c r="E743" s="5">
        <v>5</v>
      </c>
      <c r="F743" s="4">
        <v>332.64</v>
      </c>
      <c r="G743" s="1" t="s">
        <v>2899</v>
      </c>
      <c r="H743" s="1" t="s">
        <v>3068</v>
      </c>
      <c r="I743" s="1" t="s">
        <v>3073</v>
      </c>
      <c r="J743" s="1" t="s">
        <v>3816</v>
      </c>
      <c r="K743" s="1">
        <v>10</v>
      </c>
      <c r="M743" s="1" t="s">
        <v>4279</v>
      </c>
      <c r="N743" s="1">
        <v>1663.2</v>
      </c>
      <c r="O743" s="1">
        <f>(ordersTable[[#This Row],[Quantity]]*ordersTable[[#This Row],[UnitPrice]])-ordersTable[[#This Row],[TotalPrice]]</f>
        <v>0</v>
      </c>
    </row>
    <row r="744" spans="1:15" x14ac:dyDescent="0.3">
      <c r="A744" s="1" t="s">
        <v>756</v>
      </c>
      <c r="B744" s="2">
        <v>45626</v>
      </c>
      <c r="C744" s="3" t="s">
        <v>1953</v>
      </c>
      <c r="D744" s="1" t="s">
        <v>2408</v>
      </c>
      <c r="E744" s="5">
        <v>3</v>
      </c>
      <c r="F744" s="4">
        <v>699.93</v>
      </c>
      <c r="G744" s="1" t="s">
        <v>2664</v>
      </c>
      <c r="H744" s="1" t="s">
        <v>3069</v>
      </c>
      <c r="I744" s="1" t="s">
        <v>3072</v>
      </c>
      <c r="J744" s="1" t="s">
        <v>3817</v>
      </c>
      <c r="K744" s="1">
        <v>7</v>
      </c>
      <c r="L744" s="1" t="s">
        <v>4275</v>
      </c>
      <c r="M744" s="1" t="s">
        <v>4282</v>
      </c>
      <c r="N744" s="1">
        <v>2099.79</v>
      </c>
      <c r="O744" s="1">
        <f>(ordersTable[[#This Row],[Quantity]]*ordersTable[[#This Row],[UnitPrice]])-ordersTable[[#This Row],[TotalPrice]]</f>
        <v>0</v>
      </c>
    </row>
    <row r="745" spans="1:15" x14ac:dyDescent="0.3">
      <c r="A745" s="1" t="s">
        <v>757</v>
      </c>
      <c r="B745" s="2">
        <v>45565</v>
      </c>
      <c r="C745" s="3" t="s">
        <v>1954</v>
      </c>
      <c r="D745" s="1" t="s">
        <v>2403</v>
      </c>
      <c r="E745" s="5">
        <v>1</v>
      </c>
      <c r="F745" s="4">
        <v>576.35</v>
      </c>
      <c r="G745" s="1" t="s">
        <v>2448</v>
      </c>
      <c r="H745" s="1" t="s">
        <v>3068</v>
      </c>
      <c r="I745" s="1" t="s">
        <v>3072</v>
      </c>
      <c r="J745" s="1" t="s">
        <v>3818</v>
      </c>
      <c r="K745" s="1">
        <v>1</v>
      </c>
      <c r="L745" s="1" t="s">
        <v>4277</v>
      </c>
      <c r="M745" s="1" t="s">
        <v>4278</v>
      </c>
      <c r="N745" s="1">
        <v>576.35</v>
      </c>
      <c r="O745" s="1">
        <f>(ordersTable[[#This Row],[Quantity]]*ordersTable[[#This Row],[UnitPrice]])-ordersTable[[#This Row],[TotalPrice]]</f>
        <v>0</v>
      </c>
    </row>
    <row r="746" spans="1:15" x14ac:dyDescent="0.3">
      <c r="A746" s="1" t="s">
        <v>758</v>
      </c>
      <c r="B746" s="2">
        <v>45455</v>
      </c>
      <c r="C746" s="3" t="s">
        <v>1955</v>
      </c>
      <c r="D746" s="1" t="s">
        <v>2405</v>
      </c>
      <c r="E746" s="5">
        <v>2</v>
      </c>
      <c r="F746" s="4">
        <v>461.37</v>
      </c>
      <c r="G746" s="1" t="s">
        <v>2900</v>
      </c>
      <c r="H746" s="1" t="s">
        <v>3069</v>
      </c>
      <c r="I746" s="1" t="s">
        <v>3073</v>
      </c>
      <c r="J746" s="1" t="s">
        <v>3819</v>
      </c>
      <c r="K746" s="1">
        <v>5</v>
      </c>
      <c r="L746" s="1" t="s">
        <v>4275</v>
      </c>
      <c r="M746" s="1" t="s">
        <v>4282</v>
      </c>
      <c r="N746" s="1">
        <v>922.74</v>
      </c>
      <c r="O746" s="1">
        <f>(ordersTable[[#This Row],[Quantity]]*ordersTable[[#This Row],[UnitPrice]])-ordersTable[[#This Row],[TotalPrice]]</f>
        <v>0</v>
      </c>
    </row>
    <row r="747" spans="1:15" x14ac:dyDescent="0.3">
      <c r="A747" s="1" t="s">
        <v>759</v>
      </c>
      <c r="B747" s="2">
        <v>44987</v>
      </c>
      <c r="C747" s="3" t="s">
        <v>1956</v>
      </c>
      <c r="D747" s="1" t="s">
        <v>2407</v>
      </c>
      <c r="E747" s="5">
        <v>4</v>
      </c>
      <c r="F747" s="4">
        <v>111.3</v>
      </c>
      <c r="G747" s="1" t="s">
        <v>2901</v>
      </c>
      <c r="H747" s="1" t="s">
        <v>3065</v>
      </c>
      <c r="I747" s="1" t="s">
        <v>3074</v>
      </c>
      <c r="J747" s="1" t="s">
        <v>3820</v>
      </c>
      <c r="K747" s="1">
        <v>7</v>
      </c>
      <c r="L747" s="1" t="s">
        <v>4276</v>
      </c>
      <c r="M747" s="1" t="s">
        <v>4280</v>
      </c>
      <c r="N747" s="1">
        <v>445.2</v>
      </c>
      <c r="O747" s="1">
        <f>(ordersTable[[#This Row],[Quantity]]*ordersTable[[#This Row],[UnitPrice]])-ordersTable[[#This Row],[TotalPrice]]</f>
        <v>0</v>
      </c>
    </row>
    <row r="748" spans="1:15" x14ac:dyDescent="0.3">
      <c r="A748" s="1" t="s">
        <v>760</v>
      </c>
      <c r="B748" s="2">
        <v>45712</v>
      </c>
      <c r="C748" s="3" t="s">
        <v>1957</v>
      </c>
      <c r="D748" s="1" t="s">
        <v>2409</v>
      </c>
      <c r="E748" s="5">
        <v>3</v>
      </c>
      <c r="F748" s="4">
        <v>661.89</v>
      </c>
      <c r="G748" s="1" t="s">
        <v>2902</v>
      </c>
      <c r="H748" s="1" t="s">
        <v>3066</v>
      </c>
      <c r="I748" s="1" t="s">
        <v>3071</v>
      </c>
      <c r="J748" s="1" t="s">
        <v>3821</v>
      </c>
      <c r="K748" s="1">
        <v>6</v>
      </c>
      <c r="L748" s="1" t="s">
        <v>4277</v>
      </c>
      <c r="M748" s="1" t="s">
        <v>4279</v>
      </c>
      <c r="N748" s="1">
        <v>1985.67</v>
      </c>
      <c r="O748" s="1">
        <f>(ordersTable[[#This Row],[Quantity]]*ordersTable[[#This Row],[UnitPrice]])-ordersTable[[#This Row],[TotalPrice]]</f>
        <v>0</v>
      </c>
    </row>
    <row r="749" spans="1:15" x14ac:dyDescent="0.3">
      <c r="A749" s="1" t="s">
        <v>761</v>
      </c>
      <c r="B749" s="2">
        <v>45728</v>
      </c>
      <c r="C749" s="3" t="s">
        <v>1958</v>
      </c>
      <c r="D749" s="1" t="s">
        <v>2405</v>
      </c>
      <c r="E749" s="5">
        <v>2</v>
      </c>
      <c r="F749" s="4">
        <v>259.58</v>
      </c>
      <c r="G749" s="1" t="s">
        <v>2903</v>
      </c>
      <c r="H749" s="1" t="s">
        <v>3065</v>
      </c>
      <c r="I749" s="1" t="s">
        <v>3073</v>
      </c>
      <c r="J749" s="1" t="s">
        <v>3822</v>
      </c>
      <c r="K749" s="1">
        <v>7</v>
      </c>
      <c r="L749" s="1" t="s">
        <v>4276</v>
      </c>
      <c r="M749" s="1" t="s">
        <v>4278</v>
      </c>
      <c r="N749" s="1">
        <v>519.16</v>
      </c>
      <c r="O749" s="1">
        <f>(ordersTable[[#This Row],[Quantity]]*ordersTable[[#This Row],[UnitPrice]])-ordersTable[[#This Row],[TotalPrice]]</f>
        <v>0</v>
      </c>
    </row>
    <row r="750" spans="1:15" x14ac:dyDescent="0.3">
      <c r="A750" s="1" t="s">
        <v>762</v>
      </c>
      <c r="B750" s="2">
        <v>45488</v>
      </c>
      <c r="C750" s="3" t="s">
        <v>1959</v>
      </c>
      <c r="D750" s="1" t="s">
        <v>2405</v>
      </c>
      <c r="E750" s="5">
        <v>3</v>
      </c>
      <c r="F750" s="4">
        <v>70.81</v>
      </c>
      <c r="G750" s="1" t="s">
        <v>2789</v>
      </c>
      <c r="H750" s="1" t="s">
        <v>3067</v>
      </c>
      <c r="I750" s="1" t="s">
        <v>3070</v>
      </c>
      <c r="J750" s="1" t="s">
        <v>3823</v>
      </c>
      <c r="K750" s="1">
        <v>8</v>
      </c>
      <c r="L750" s="1" t="s">
        <v>4276</v>
      </c>
      <c r="M750" s="1" t="s">
        <v>4279</v>
      </c>
      <c r="N750" s="1">
        <v>212.43</v>
      </c>
      <c r="O750" s="1">
        <f>(ordersTable[[#This Row],[Quantity]]*ordersTable[[#This Row],[UnitPrice]])-ordersTable[[#This Row],[TotalPrice]]</f>
        <v>0</v>
      </c>
    </row>
    <row r="751" spans="1:15" x14ac:dyDescent="0.3">
      <c r="A751" s="1" t="s">
        <v>763</v>
      </c>
      <c r="B751" s="2">
        <v>45760</v>
      </c>
      <c r="C751" s="3" t="s">
        <v>1960</v>
      </c>
      <c r="D751" s="1" t="s">
        <v>2408</v>
      </c>
      <c r="E751" s="5">
        <v>1</v>
      </c>
      <c r="F751" s="4">
        <v>518.39</v>
      </c>
      <c r="G751" s="1" t="s">
        <v>2904</v>
      </c>
      <c r="H751" s="1" t="s">
        <v>3065</v>
      </c>
      <c r="I751" s="1" t="s">
        <v>3074</v>
      </c>
      <c r="J751" s="1" t="s">
        <v>3824</v>
      </c>
      <c r="K751" s="1">
        <v>4</v>
      </c>
      <c r="L751" s="1" t="s">
        <v>4276</v>
      </c>
      <c r="M751" s="1" t="s">
        <v>4278</v>
      </c>
      <c r="N751" s="1">
        <v>518.39</v>
      </c>
      <c r="O751" s="1">
        <f>(ordersTable[[#This Row],[Quantity]]*ordersTable[[#This Row],[UnitPrice]])-ordersTable[[#This Row],[TotalPrice]]</f>
        <v>0</v>
      </c>
    </row>
    <row r="752" spans="1:15" x14ac:dyDescent="0.3">
      <c r="A752" s="1" t="s">
        <v>764</v>
      </c>
      <c r="B752" s="2">
        <v>44940</v>
      </c>
      <c r="C752" s="3" t="s">
        <v>1961</v>
      </c>
      <c r="D752" s="1" t="s">
        <v>2405</v>
      </c>
      <c r="E752" s="5">
        <v>4</v>
      </c>
      <c r="F752" s="4">
        <v>145.41</v>
      </c>
      <c r="G752" s="1" t="s">
        <v>2905</v>
      </c>
      <c r="H752" s="1" t="s">
        <v>3067</v>
      </c>
      <c r="I752" s="1" t="s">
        <v>3072</v>
      </c>
      <c r="J752" s="1" t="s">
        <v>3825</v>
      </c>
      <c r="K752" s="1">
        <v>7</v>
      </c>
      <c r="L752" s="1" t="s">
        <v>4276</v>
      </c>
      <c r="M752" s="1" t="s">
        <v>4280</v>
      </c>
      <c r="N752" s="1">
        <v>581.64</v>
      </c>
      <c r="O752" s="1">
        <f>(ordersTable[[#This Row],[Quantity]]*ordersTable[[#This Row],[UnitPrice]])-ordersTable[[#This Row],[TotalPrice]]</f>
        <v>0</v>
      </c>
    </row>
    <row r="753" spans="1:15" x14ac:dyDescent="0.3">
      <c r="A753" s="1" t="s">
        <v>765</v>
      </c>
      <c r="B753" s="2">
        <v>44950</v>
      </c>
      <c r="C753" s="3" t="s">
        <v>1962</v>
      </c>
      <c r="D753" s="1" t="s">
        <v>2405</v>
      </c>
      <c r="E753" s="5">
        <v>2</v>
      </c>
      <c r="F753" s="4">
        <v>599.86</v>
      </c>
      <c r="G753" s="1" t="s">
        <v>2906</v>
      </c>
      <c r="H753" s="1" t="s">
        <v>3068</v>
      </c>
      <c r="I753" s="1" t="s">
        <v>3074</v>
      </c>
      <c r="J753" s="1" t="s">
        <v>3826</v>
      </c>
      <c r="K753" s="1">
        <v>7</v>
      </c>
      <c r="L753" s="1" t="s">
        <v>4276</v>
      </c>
      <c r="M753" s="1" t="s">
        <v>4281</v>
      </c>
      <c r="N753" s="1">
        <v>1199.72</v>
      </c>
      <c r="O753" s="1">
        <f>(ordersTable[[#This Row],[Quantity]]*ordersTable[[#This Row],[UnitPrice]])-ordersTable[[#This Row],[TotalPrice]]</f>
        <v>0</v>
      </c>
    </row>
    <row r="754" spans="1:15" x14ac:dyDescent="0.3">
      <c r="A754" s="1" t="s">
        <v>766</v>
      </c>
      <c r="B754" s="2">
        <v>45568</v>
      </c>
      <c r="C754" s="3" t="s">
        <v>1963</v>
      </c>
      <c r="D754" s="1" t="s">
        <v>2404</v>
      </c>
      <c r="E754" s="5">
        <v>4</v>
      </c>
      <c r="F754" s="4">
        <v>429.37</v>
      </c>
      <c r="G754" s="1" t="s">
        <v>2648</v>
      </c>
      <c r="H754" s="1" t="s">
        <v>3067</v>
      </c>
      <c r="I754" s="1" t="s">
        <v>3073</v>
      </c>
      <c r="J754" s="1" t="s">
        <v>3827</v>
      </c>
      <c r="K754" s="1">
        <v>8</v>
      </c>
      <c r="L754" s="1" t="s">
        <v>4276</v>
      </c>
      <c r="M754" s="1" t="s">
        <v>4282</v>
      </c>
      <c r="N754" s="1">
        <v>1717.48</v>
      </c>
      <c r="O754" s="1">
        <f>(ordersTable[[#This Row],[Quantity]]*ordersTable[[#This Row],[UnitPrice]])-ordersTable[[#This Row],[TotalPrice]]</f>
        <v>0</v>
      </c>
    </row>
    <row r="755" spans="1:15" x14ac:dyDescent="0.3">
      <c r="A755" s="1" t="s">
        <v>767</v>
      </c>
      <c r="B755" s="2">
        <v>45406</v>
      </c>
      <c r="C755" s="3" t="s">
        <v>1964</v>
      </c>
      <c r="D755" s="1" t="s">
        <v>2404</v>
      </c>
      <c r="E755" s="5">
        <v>2</v>
      </c>
      <c r="F755" s="4">
        <v>241.49</v>
      </c>
      <c r="G755" s="1" t="s">
        <v>2907</v>
      </c>
      <c r="H755" s="1" t="s">
        <v>3065</v>
      </c>
      <c r="I755" s="1" t="s">
        <v>3072</v>
      </c>
      <c r="J755" s="1" t="s">
        <v>3828</v>
      </c>
      <c r="K755" s="1">
        <v>7</v>
      </c>
      <c r="L755" s="1" t="s">
        <v>4276</v>
      </c>
      <c r="M755" s="1" t="s">
        <v>4278</v>
      </c>
      <c r="N755" s="1">
        <v>482.98</v>
      </c>
      <c r="O755" s="1">
        <f>(ordersTable[[#This Row],[Quantity]]*ordersTable[[#This Row],[UnitPrice]])-ordersTable[[#This Row],[TotalPrice]]</f>
        <v>0</v>
      </c>
    </row>
    <row r="756" spans="1:15" x14ac:dyDescent="0.3">
      <c r="A756" s="1" t="s">
        <v>768</v>
      </c>
      <c r="B756" s="2">
        <v>45808</v>
      </c>
      <c r="C756" s="3" t="s">
        <v>1965</v>
      </c>
      <c r="D756" s="1" t="s">
        <v>2407</v>
      </c>
      <c r="E756" s="5">
        <v>2</v>
      </c>
      <c r="F756" s="4">
        <v>452.05</v>
      </c>
      <c r="G756" s="1" t="s">
        <v>2908</v>
      </c>
      <c r="H756" s="1" t="s">
        <v>3067</v>
      </c>
      <c r="I756" s="1" t="s">
        <v>3072</v>
      </c>
      <c r="J756" s="1" t="s">
        <v>3829</v>
      </c>
      <c r="K756" s="1">
        <v>3</v>
      </c>
      <c r="L756" s="1" t="s">
        <v>4277</v>
      </c>
      <c r="M756" s="1" t="s">
        <v>4280</v>
      </c>
      <c r="N756" s="1">
        <v>904.1</v>
      </c>
      <c r="O756" s="1">
        <f>(ordersTable[[#This Row],[Quantity]]*ordersTable[[#This Row],[UnitPrice]])-ordersTable[[#This Row],[TotalPrice]]</f>
        <v>0</v>
      </c>
    </row>
    <row r="757" spans="1:15" x14ac:dyDescent="0.3">
      <c r="A757" s="1" t="s">
        <v>769</v>
      </c>
      <c r="B757" s="2">
        <v>45090</v>
      </c>
      <c r="C757" s="3" t="s">
        <v>1966</v>
      </c>
      <c r="D757" s="1" t="s">
        <v>2409</v>
      </c>
      <c r="E757" s="5">
        <v>3</v>
      </c>
      <c r="F757" s="4">
        <v>336.71</v>
      </c>
      <c r="G757" s="1" t="s">
        <v>2909</v>
      </c>
      <c r="H757" s="1" t="s">
        <v>3067</v>
      </c>
      <c r="I757" s="1" t="s">
        <v>3074</v>
      </c>
      <c r="J757" s="1" t="s">
        <v>3830</v>
      </c>
      <c r="K757" s="1">
        <v>4</v>
      </c>
      <c r="M757" s="1" t="s">
        <v>4280</v>
      </c>
      <c r="N757" s="1">
        <v>1010.13</v>
      </c>
      <c r="O757" s="1">
        <f>(ordersTable[[#This Row],[Quantity]]*ordersTable[[#This Row],[UnitPrice]])-ordersTable[[#This Row],[TotalPrice]]</f>
        <v>0</v>
      </c>
    </row>
    <row r="758" spans="1:15" x14ac:dyDescent="0.3">
      <c r="A758" s="1" t="s">
        <v>770</v>
      </c>
      <c r="B758" s="2">
        <v>45470</v>
      </c>
      <c r="C758" s="3" t="s">
        <v>1967</v>
      </c>
      <c r="D758" s="1" t="s">
        <v>2404</v>
      </c>
      <c r="E758" s="5">
        <v>1</v>
      </c>
      <c r="F758" s="4">
        <v>283.69</v>
      </c>
      <c r="G758" s="1" t="s">
        <v>2464</v>
      </c>
      <c r="H758" s="1" t="s">
        <v>3068</v>
      </c>
      <c r="I758" s="1" t="s">
        <v>3070</v>
      </c>
      <c r="J758" s="1" t="s">
        <v>3831</v>
      </c>
      <c r="K758" s="1">
        <v>6</v>
      </c>
      <c r="M758" s="1" t="s">
        <v>4282</v>
      </c>
      <c r="N758" s="1">
        <v>283.69</v>
      </c>
      <c r="O758" s="1">
        <f>(ordersTable[[#This Row],[Quantity]]*ordersTable[[#This Row],[UnitPrice]])-ordersTable[[#This Row],[TotalPrice]]</f>
        <v>0</v>
      </c>
    </row>
    <row r="759" spans="1:15" x14ac:dyDescent="0.3">
      <c r="A759" s="1" t="s">
        <v>771</v>
      </c>
      <c r="B759" s="2">
        <v>45344</v>
      </c>
      <c r="C759" s="3" t="s">
        <v>1968</v>
      </c>
      <c r="D759" s="1" t="s">
        <v>2409</v>
      </c>
      <c r="E759" s="5">
        <v>1</v>
      </c>
      <c r="F759" s="4">
        <v>157.72</v>
      </c>
      <c r="G759" s="1" t="s">
        <v>2581</v>
      </c>
      <c r="H759" s="1" t="s">
        <v>3065</v>
      </c>
      <c r="I759" s="1" t="s">
        <v>3073</v>
      </c>
      <c r="J759" s="1" t="s">
        <v>3832</v>
      </c>
      <c r="K759" s="1">
        <v>2</v>
      </c>
      <c r="L759" s="1" t="s">
        <v>4276</v>
      </c>
      <c r="M759" s="1" t="s">
        <v>4282</v>
      </c>
      <c r="N759" s="1">
        <v>157.72</v>
      </c>
      <c r="O759" s="1">
        <f>(ordersTable[[#This Row],[Quantity]]*ordersTable[[#This Row],[UnitPrice]])-ordersTable[[#This Row],[TotalPrice]]</f>
        <v>0</v>
      </c>
    </row>
    <row r="760" spans="1:15" x14ac:dyDescent="0.3">
      <c r="A760" s="1" t="s">
        <v>772</v>
      </c>
      <c r="B760" s="2">
        <v>45011</v>
      </c>
      <c r="C760" s="3" t="s">
        <v>1969</v>
      </c>
      <c r="D760" s="1" t="s">
        <v>2405</v>
      </c>
      <c r="E760" s="5">
        <v>3</v>
      </c>
      <c r="F760" s="4">
        <v>624.84</v>
      </c>
      <c r="G760" s="1" t="s">
        <v>2479</v>
      </c>
      <c r="H760" s="1" t="s">
        <v>3067</v>
      </c>
      <c r="I760" s="1" t="s">
        <v>3071</v>
      </c>
      <c r="J760" s="1" t="s">
        <v>3833</v>
      </c>
      <c r="K760" s="1">
        <v>8</v>
      </c>
      <c r="L760" s="1" t="s">
        <v>4277</v>
      </c>
      <c r="M760" s="1" t="s">
        <v>4281</v>
      </c>
      <c r="N760" s="1">
        <v>1874.52</v>
      </c>
      <c r="O760" s="1">
        <f>(ordersTable[[#This Row],[Quantity]]*ordersTable[[#This Row],[UnitPrice]])-ordersTable[[#This Row],[TotalPrice]]</f>
        <v>0</v>
      </c>
    </row>
    <row r="761" spans="1:15" x14ac:dyDescent="0.3">
      <c r="A761" s="1" t="s">
        <v>773</v>
      </c>
      <c r="B761" s="2">
        <v>45131</v>
      </c>
      <c r="C761" s="3" t="s">
        <v>1970</v>
      </c>
      <c r="D761" s="1" t="s">
        <v>2409</v>
      </c>
      <c r="E761" s="5">
        <v>3</v>
      </c>
      <c r="F761" s="4">
        <v>308.01</v>
      </c>
      <c r="G761" s="1" t="s">
        <v>2910</v>
      </c>
      <c r="H761" s="1" t="s">
        <v>3069</v>
      </c>
      <c r="I761" s="1" t="s">
        <v>3074</v>
      </c>
      <c r="J761" s="1" t="s">
        <v>3834</v>
      </c>
      <c r="K761" s="1">
        <v>3</v>
      </c>
      <c r="L761" s="1" t="s">
        <v>4276</v>
      </c>
      <c r="M761" s="1" t="s">
        <v>4281</v>
      </c>
      <c r="N761" s="1">
        <v>924.03</v>
      </c>
      <c r="O761" s="1">
        <f>(ordersTable[[#This Row],[Quantity]]*ordersTable[[#This Row],[UnitPrice]])-ordersTable[[#This Row],[TotalPrice]]</f>
        <v>0</v>
      </c>
    </row>
    <row r="762" spans="1:15" x14ac:dyDescent="0.3">
      <c r="A762" s="1" t="s">
        <v>774</v>
      </c>
      <c r="B762" s="2">
        <v>45706</v>
      </c>
      <c r="C762" s="3" t="s">
        <v>1971</v>
      </c>
      <c r="D762" s="1" t="s">
        <v>2409</v>
      </c>
      <c r="E762" s="5">
        <v>1</v>
      </c>
      <c r="F762" s="4">
        <v>39.56</v>
      </c>
      <c r="G762" s="1" t="s">
        <v>2570</v>
      </c>
      <c r="H762" s="1" t="s">
        <v>3065</v>
      </c>
      <c r="I762" s="1" t="s">
        <v>3071</v>
      </c>
      <c r="J762" s="1" t="s">
        <v>3835</v>
      </c>
      <c r="K762" s="1">
        <v>5</v>
      </c>
      <c r="M762" s="1" t="s">
        <v>4282</v>
      </c>
      <c r="N762" s="1">
        <v>39.56</v>
      </c>
      <c r="O762" s="1">
        <f>(ordersTable[[#This Row],[Quantity]]*ordersTable[[#This Row],[UnitPrice]])-ordersTable[[#This Row],[TotalPrice]]</f>
        <v>0</v>
      </c>
    </row>
    <row r="763" spans="1:15" x14ac:dyDescent="0.3">
      <c r="A763" s="1" t="s">
        <v>775</v>
      </c>
      <c r="B763" s="2">
        <v>45079</v>
      </c>
      <c r="C763" s="3" t="s">
        <v>1972</v>
      </c>
      <c r="D763" s="1" t="s">
        <v>2409</v>
      </c>
      <c r="E763" s="5">
        <v>4</v>
      </c>
      <c r="F763" s="4">
        <v>37.76</v>
      </c>
      <c r="G763" s="1" t="s">
        <v>2911</v>
      </c>
      <c r="H763" s="1" t="s">
        <v>3065</v>
      </c>
      <c r="I763" s="1" t="s">
        <v>3073</v>
      </c>
      <c r="J763" s="1" t="s">
        <v>3836</v>
      </c>
      <c r="K763" s="1">
        <v>7</v>
      </c>
      <c r="M763" s="1" t="s">
        <v>4282</v>
      </c>
      <c r="N763" s="1">
        <v>151.04</v>
      </c>
      <c r="O763" s="1">
        <f>(ordersTable[[#This Row],[Quantity]]*ordersTable[[#This Row],[UnitPrice]])-ordersTable[[#This Row],[TotalPrice]]</f>
        <v>0</v>
      </c>
    </row>
    <row r="764" spans="1:15" x14ac:dyDescent="0.3">
      <c r="A764" s="1" t="s">
        <v>776</v>
      </c>
      <c r="B764" s="2">
        <v>45552</v>
      </c>
      <c r="C764" s="3" t="s">
        <v>1973</v>
      </c>
      <c r="D764" s="1" t="s">
        <v>2404</v>
      </c>
      <c r="E764" s="5">
        <v>3</v>
      </c>
      <c r="F764" s="4">
        <v>76.959999999999994</v>
      </c>
      <c r="G764" s="1" t="s">
        <v>2494</v>
      </c>
      <c r="H764" s="1" t="s">
        <v>3069</v>
      </c>
      <c r="I764" s="1" t="s">
        <v>3072</v>
      </c>
      <c r="J764" s="1" t="s">
        <v>3837</v>
      </c>
      <c r="K764" s="1">
        <v>8</v>
      </c>
      <c r="L764" s="1" t="s">
        <v>4276</v>
      </c>
      <c r="M764" s="1" t="s">
        <v>4280</v>
      </c>
      <c r="N764" s="1">
        <v>230.88</v>
      </c>
      <c r="O764" s="1">
        <f>(ordersTable[[#This Row],[Quantity]]*ordersTable[[#This Row],[UnitPrice]])-ordersTable[[#This Row],[TotalPrice]]</f>
        <v>0</v>
      </c>
    </row>
    <row r="765" spans="1:15" x14ac:dyDescent="0.3">
      <c r="A765" s="1" t="s">
        <v>777</v>
      </c>
      <c r="B765" s="2">
        <v>45022</v>
      </c>
      <c r="C765" s="3" t="s">
        <v>1974</v>
      </c>
      <c r="D765" s="1" t="s">
        <v>2408</v>
      </c>
      <c r="E765" s="5">
        <v>1</v>
      </c>
      <c r="F765" s="4">
        <v>569.96</v>
      </c>
      <c r="G765" s="1" t="s">
        <v>2501</v>
      </c>
      <c r="H765" s="1" t="s">
        <v>3066</v>
      </c>
      <c r="I765" s="1" t="s">
        <v>3073</v>
      </c>
      <c r="J765" s="1" t="s">
        <v>3838</v>
      </c>
      <c r="K765" s="1">
        <v>4</v>
      </c>
      <c r="L765" s="1" t="s">
        <v>4276</v>
      </c>
      <c r="M765" s="1" t="s">
        <v>4280</v>
      </c>
      <c r="N765" s="1">
        <v>569.96</v>
      </c>
      <c r="O765" s="1">
        <f>(ordersTable[[#This Row],[Quantity]]*ordersTable[[#This Row],[UnitPrice]])-ordersTable[[#This Row],[TotalPrice]]</f>
        <v>0</v>
      </c>
    </row>
    <row r="766" spans="1:15" x14ac:dyDescent="0.3">
      <c r="A766" s="1" t="s">
        <v>778</v>
      </c>
      <c r="B766" s="2">
        <v>45361</v>
      </c>
      <c r="C766" s="3" t="s">
        <v>1975</v>
      </c>
      <c r="D766" s="1" t="s">
        <v>2408</v>
      </c>
      <c r="E766" s="5">
        <v>5</v>
      </c>
      <c r="F766" s="4">
        <v>627.42999999999995</v>
      </c>
      <c r="G766" s="1" t="s">
        <v>2565</v>
      </c>
      <c r="H766" s="1" t="s">
        <v>3067</v>
      </c>
      <c r="I766" s="1" t="s">
        <v>3071</v>
      </c>
      <c r="J766" s="1" t="s">
        <v>3839</v>
      </c>
      <c r="K766" s="1">
        <v>10</v>
      </c>
      <c r="L766" s="1" t="s">
        <v>4276</v>
      </c>
      <c r="M766" s="1" t="s">
        <v>4280</v>
      </c>
      <c r="N766" s="1">
        <v>3137.15</v>
      </c>
      <c r="O766" s="1">
        <f>(ordersTable[[#This Row],[Quantity]]*ordersTable[[#This Row],[UnitPrice]])-ordersTable[[#This Row],[TotalPrice]]</f>
        <v>0</v>
      </c>
    </row>
    <row r="767" spans="1:15" x14ac:dyDescent="0.3">
      <c r="A767" s="1" t="s">
        <v>779</v>
      </c>
      <c r="B767" s="2">
        <v>45205</v>
      </c>
      <c r="C767" s="3" t="s">
        <v>1976</v>
      </c>
      <c r="D767" s="1" t="s">
        <v>2408</v>
      </c>
      <c r="E767" s="5">
        <v>2</v>
      </c>
      <c r="F767" s="4">
        <v>534.91</v>
      </c>
      <c r="G767" s="1" t="s">
        <v>2888</v>
      </c>
      <c r="H767" s="1" t="s">
        <v>3065</v>
      </c>
      <c r="I767" s="1" t="s">
        <v>3072</v>
      </c>
      <c r="J767" s="1" t="s">
        <v>3840</v>
      </c>
      <c r="K767" s="1">
        <v>5</v>
      </c>
      <c r="L767" s="1" t="s">
        <v>4275</v>
      </c>
      <c r="M767" s="1" t="s">
        <v>4282</v>
      </c>
      <c r="N767" s="1">
        <v>1069.82</v>
      </c>
      <c r="O767" s="1">
        <f>(ordersTable[[#This Row],[Quantity]]*ordersTable[[#This Row],[UnitPrice]])-ordersTable[[#This Row],[TotalPrice]]</f>
        <v>0</v>
      </c>
    </row>
    <row r="768" spans="1:15" x14ac:dyDescent="0.3">
      <c r="A768" s="1" t="s">
        <v>780</v>
      </c>
      <c r="B768" s="2">
        <v>44948</v>
      </c>
      <c r="C768" s="3" t="s">
        <v>1977</v>
      </c>
      <c r="D768" s="1" t="s">
        <v>2407</v>
      </c>
      <c r="E768" s="5">
        <v>2</v>
      </c>
      <c r="F768" s="4">
        <v>278.88</v>
      </c>
      <c r="G768" s="1" t="s">
        <v>2704</v>
      </c>
      <c r="H768" s="1" t="s">
        <v>3065</v>
      </c>
      <c r="I768" s="1" t="s">
        <v>3074</v>
      </c>
      <c r="J768" s="1" t="s">
        <v>3841</v>
      </c>
      <c r="K768" s="1">
        <v>3</v>
      </c>
      <c r="L768" s="1" t="s">
        <v>4276</v>
      </c>
      <c r="M768" s="1" t="s">
        <v>4279</v>
      </c>
      <c r="N768" s="1">
        <v>557.76</v>
      </c>
      <c r="O768" s="1">
        <f>(ordersTable[[#This Row],[Quantity]]*ordersTable[[#This Row],[UnitPrice]])-ordersTable[[#This Row],[TotalPrice]]</f>
        <v>0</v>
      </c>
    </row>
    <row r="769" spans="1:15" x14ac:dyDescent="0.3">
      <c r="A769" s="1" t="s">
        <v>781</v>
      </c>
      <c r="B769" s="2">
        <v>45765</v>
      </c>
      <c r="C769" s="3" t="s">
        <v>1978</v>
      </c>
      <c r="D769" s="1" t="s">
        <v>2405</v>
      </c>
      <c r="E769" s="5">
        <v>2</v>
      </c>
      <c r="F769" s="4">
        <v>323.22000000000003</v>
      </c>
      <c r="G769" s="1" t="s">
        <v>2912</v>
      </c>
      <c r="H769" s="1" t="s">
        <v>3067</v>
      </c>
      <c r="I769" s="1" t="s">
        <v>3073</v>
      </c>
      <c r="J769" s="1" t="s">
        <v>3842</v>
      </c>
      <c r="K769" s="1">
        <v>7</v>
      </c>
      <c r="M769" s="1" t="s">
        <v>4278</v>
      </c>
      <c r="N769" s="1">
        <v>646.44000000000005</v>
      </c>
      <c r="O769" s="1">
        <f>(ordersTable[[#This Row],[Quantity]]*ordersTable[[#This Row],[UnitPrice]])-ordersTable[[#This Row],[TotalPrice]]</f>
        <v>0</v>
      </c>
    </row>
    <row r="770" spans="1:15" x14ac:dyDescent="0.3">
      <c r="A770" s="1" t="s">
        <v>782</v>
      </c>
      <c r="B770" s="2">
        <v>45173</v>
      </c>
      <c r="C770" s="3" t="s">
        <v>1979</v>
      </c>
      <c r="D770" s="1" t="s">
        <v>2405</v>
      </c>
      <c r="E770" s="5">
        <v>5</v>
      </c>
      <c r="F770" s="4">
        <v>653.46</v>
      </c>
      <c r="G770" s="1" t="s">
        <v>2913</v>
      </c>
      <c r="H770" s="1" t="s">
        <v>3069</v>
      </c>
      <c r="I770" s="1" t="s">
        <v>3071</v>
      </c>
      <c r="J770" s="1" t="s">
        <v>3843</v>
      </c>
      <c r="K770" s="1">
        <v>9</v>
      </c>
      <c r="L770" s="1" t="s">
        <v>4277</v>
      </c>
      <c r="M770" s="1" t="s">
        <v>4280</v>
      </c>
      <c r="N770" s="1">
        <v>3267.3</v>
      </c>
      <c r="O770" s="1">
        <f>(ordersTable[[#This Row],[Quantity]]*ordersTable[[#This Row],[UnitPrice]])-ordersTable[[#This Row],[TotalPrice]]</f>
        <v>0</v>
      </c>
    </row>
    <row r="771" spans="1:15" x14ac:dyDescent="0.3">
      <c r="A771" s="1" t="s">
        <v>783</v>
      </c>
      <c r="B771" s="2">
        <v>45113</v>
      </c>
      <c r="C771" s="3" t="s">
        <v>1980</v>
      </c>
      <c r="D771" s="1" t="s">
        <v>2407</v>
      </c>
      <c r="E771" s="5">
        <v>4</v>
      </c>
      <c r="F771" s="4">
        <v>678.55</v>
      </c>
      <c r="G771" s="1" t="s">
        <v>2438</v>
      </c>
      <c r="H771" s="1" t="s">
        <v>3069</v>
      </c>
      <c r="I771" s="1" t="s">
        <v>3073</v>
      </c>
      <c r="J771" s="1" t="s">
        <v>3844</v>
      </c>
      <c r="K771" s="1">
        <v>5</v>
      </c>
      <c r="M771" s="1" t="s">
        <v>4280</v>
      </c>
      <c r="N771" s="1">
        <v>2714.2</v>
      </c>
      <c r="O771" s="1">
        <f>(ordersTable[[#This Row],[Quantity]]*ordersTable[[#This Row],[UnitPrice]])-ordersTable[[#This Row],[TotalPrice]]</f>
        <v>0</v>
      </c>
    </row>
    <row r="772" spans="1:15" x14ac:dyDescent="0.3">
      <c r="A772" s="1" t="s">
        <v>784</v>
      </c>
      <c r="B772" s="2">
        <v>45333</v>
      </c>
      <c r="C772" s="3" t="s">
        <v>1981</v>
      </c>
      <c r="D772" s="1" t="s">
        <v>2409</v>
      </c>
      <c r="E772" s="5">
        <v>1</v>
      </c>
      <c r="F772" s="4">
        <v>314.38</v>
      </c>
      <c r="G772" s="1" t="s">
        <v>2757</v>
      </c>
      <c r="H772" s="1" t="s">
        <v>3066</v>
      </c>
      <c r="I772" s="1" t="s">
        <v>3072</v>
      </c>
      <c r="J772" s="1" t="s">
        <v>3845</v>
      </c>
      <c r="K772" s="1">
        <v>6</v>
      </c>
      <c r="M772" s="1" t="s">
        <v>4282</v>
      </c>
      <c r="N772" s="1">
        <v>314.38</v>
      </c>
      <c r="O772" s="1">
        <f>(ordersTable[[#This Row],[Quantity]]*ordersTable[[#This Row],[UnitPrice]])-ordersTable[[#This Row],[TotalPrice]]</f>
        <v>0</v>
      </c>
    </row>
    <row r="773" spans="1:15" x14ac:dyDescent="0.3">
      <c r="A773" s="1" t="s">
        <v>785</v>
      </c>
      <c r="B773" s="2">
        <v>45455</v>
      </c>
      <c r="C773" s="3" t="s">
        <v>1982</v>
      </c>
      <c r="D773" s="1" t="s">
        <v>2404</v>
      </c>
      <c r="E773" s="5">
        <v>3</v>
      </c>
      <c r="F773" s="4">
        <v>692.44</v>
      </c>
      <c r="G773" s="1" t="s">
        <v>2724</v>
      </c>
      <c r="H773" s="1" t="s">
        <v>3065</v>
      </c>
      <c r="I773" s="1" t="s">
        <v>3071</v>
      </c>
      <c r="J773" s="1" t="s">
        <v>3846</v>
      </c>
      <c r="K773" s="1">
        <v>8</v>
      </c>
      <c r="L773" s="1" t="s">
        <v>4276</v>
      </c>
      <c r="M773" s="1" t="s">
        <v>4282</v>
      </c>
      <c r="N773" s="1">
        <v>2077.3200000000002</v>
      </c>
      <c r="O773" s="1">
        <f>(ordersTable[[#This Row],[Quantity]]*ordersTable[[#This Row],[UnitPrice]])-ordersTable[[#This Row],[TotalPrice]]</f>
        <v>0</v>
      </c>
    </row>
    <row r="774" spans="1:15" x14ac:dyDescent="0.3">
      <c r="A774" s="1" t="s">
        <v>786</v>
      </c>
      <c r="B774" s="2">
        <v>45501</v>
      </c>
      <c r="C774" s="3" t="s">
        <v>1983</v>
      </c>
      <c r="D774" s="1" t="s">
        <v>2403</v>
      </c>
      <c r="E774" s="5">
        <v>1</v>
      </c>
      <c r="F774" s="4">
        <v>604.87</v>
      </c>
      <c r="G774" s="1" t="s">
        <v>2914</v>
      </c>
      <c r="H774" s="1" t="s">
        <v>3066</v>
      </c>
      <c r="I774" s="1" t="s">
        <v>3073</v>
      </c>
      <c r="J774" s="1" t="s">
        <v>3847</v>
      </c>
      <c r="K774" s="1">
        <v>4</v>
      </c>
      <c r="M774" s="1" t="s">
        <v>4278</v>
      </c>
      <c r="N774" s="1">
        <v>604.87</v>
      </c>
      <c r="O774" s="1">
        <f>(ordersTable[[#This Row],[Quantity]]*ordersTable[[#This Row],[UnitPrice]])-ordersTable[[#This Row],[TotalPrice]]</f>
        <v>0</v>
      </c>
    </row>
    <row r="775" spans="1:15" x14ac:dyDescent="0.3">
      <c r="A775" s="1" t="s">
        <v>787</v>
      </c>
      <c r="B775" s="2">
        <v>45836</v>
      </c>
      <c r="C775" s="3" t="s">
        <v>1984</v>
      </c>
      <c r="D775" s="1" t="s">
        <v>2404</v>
      </c>
      <c r="E775" s="5">
        <v>2</v>
      </c>
      <c r="F775" s="4">
        <v>512.33000000000004</v>
      </c>
      <c r="G775" s="1" t="s">
        <v>2915</v>
      </c>
      <c r="H775" s="1" t="s">
        <v>3069</v>
      </c>
      <c r="I775" s="1" t="s">
        <v>3071</v>
      </c>
      <c r="J775" s="1" t="s">
        <v>3848</v>
      </c>
      <c r="K775" s="1">
        <v>7</v>
      </c>
      <c r="M775" s="1" t="s">
        <v>4281</v>
      </c>
      <c r="N775" s="1">
        <v>1024.6600000000001</v>
      </c>
      <c r="O775" s="1">
        <f>(ordersTable[[#This Row],[Quantity]]*ordersTable[[#This Row],[UnitPrice]])-ordersTable[[#This Row],[TotalPrice]]</f>
        <v>0</v>
      </c>
    </row>
    <row r="776" spans="1:15" x14ac:dyDescent="0.3">
      <c r="A776" s="1" t="s">
        <v>788</v>
      </c>
      <c r="B776" s="2">
        <v>45762</v>
      </c>
      <c r="C776" s="3" t="s">
        <v>1985</v>
      </c>
      <c r="D776" s="1" t="s">
        <v>2406</v>
      </c>
      <c r="E776" s="5">
        <v>3</v>
      </c>
      <c r="F776" s="4">
        <v>20.54</v>
      </c>
      <c r="G776" s="1" t="s">
        <v>2916</v>
      </c>
      <c r="H776" s="1" t="s">
        <v>3067</v>
      </c>
      <c r="I776" s="1" t="s">
        <v>3071</v>
      </c>
      <c r="J776" s="1" t="s">
        <v>3849</v>
      </c>
      <c r="K776" s="1">
        <v>3</v>
      </c>
      <c r="L776" s="1" t="s">
        <v>4276</v>
      </c>
      <c r="M776" s="1" t="s">
        <v>4278</v>
      </c>
      <c r="N776" s="1">
        <v>61.62</v>
      </c>
      <c r="O776" s="1">
        <f>(ordersTable[[#This Row],[Quantity]]*ordersTable[[#This Row],[UnitPrice]])-ordersTable[[#This Row],[TotalPrice]]</f>
        <v>0</v>
      </c>
    </row>
    <row r="777" spans="1:15" x14ac:dyDescent="0.3">
      <c r="A777" s="1" t="s">
        <v>789</v>
      </c>
      <c r="B777" s="2">
        <v>44989</v>
      </c>
      <c r="C777" s="3" t="s">
        <v>1986</v>
      </c>
      <c r="D777" s="1" t="s">
        <v>2404</v>
      </c>
      <c r="E777" s="5">
        <v>2</v>
      </c>
      <c r="F777" s="4">
        <v>625.22</v>
      </c>
      <c r="G777" s="1" t="s">
        <v>2431</v>
      </c>
      <c r="H777" s="1" t="s">
        <v>3066</v>
      </c>
      <c r="I777" s="1" t="s">
        <v>3071</v>
      </c>
      <c r="J777" s="1" t="s">
        <v>3850</v>
      </c>
      <c r="K777" s="1">
        <v>5</v>
      </c>
      <c r="M777" s="1" t="s">
        <v>4282</v>
      </c>
      <c r="N777" s="1">
        <v>1250.44</v>
      </c>
      <c r="O777" s="1">
        <f>(ordersTable[[#This Row],[Quantity]]*ordersTable[[#This Row],[UnitPrice]])-ordersTable[[#This Row],[TotalPrice]]</f>
        <v>0</v>
      </c>
    </row>
    <row r="778" spans="1:15" x14ac:dyDescent="0.3">
      <c r="A778" s="1" t="s">
        <v>790</v>
      </c>
      <c r="B778" s="2">
        <v>45159</v>
      </c>
      <c r="C778" s="3" t="s">
        <v>1987</v>
      </c>
      <c r="D778" s="1" t="s">
        <v>2405</v>
      </c>
      <c r="E778" s="5">
        <v>1</v>
      </c>
      <c r="F778" s="4">
        <v>21.19</v>
      </c>
      <c r="G778" s="1" t="s">
        <v>2917</v>
      </c>
      <c r="H778" s="1" t="s">
        <v>3069</v>
      </c>
      <c r="I778" s="1" t="s">
        <v>3072</v>
      </c>
      <c r="J778" s="1" t="s">
        <v>3851</v>
      </c>
      <c r="K778" s="1">
        <v>5</v>
      </c>
      <c r="L778" s="1" t="s">
        <v>4277</v>
      </c>
      <c r="M778" s="1" t="s">
        <v>4282</v>
      </c>
      <c r="N778" s="1">
        <v>21.19</v>
      </c>
      <c r="O778" s="1">
        <f>(ordersTable[[#This Row],[Quantity]]*ordersTable[[#This Row],[UnitPrice]])-ordersTable[[#This Row],[TotalPrice]]</f>
        <v>0</v>
      </c>
    </row>
    <row r="779" spans="1:15" x14ac:dyDescent="0.3">
      <c r="A779" s="1" t="s">
        <v>791</v>
      </c>
      <c r="B779" s="2">
        <v>45737</v>
      </c>
      <c r="C779" s="3" t="s">
        <v>1988</v>
      </c>
      <c r="D779" s="1" t="s">
        <v>2406</v>
      </c>
      <c r="E779" s="5">
        <v>5</v>
      </c>
      <c r="F779" s="4">
        <v>64.489999999999995</v>
      </c>
      <c r="G779" s="1" t="s">
        <v>2432</v>
      </c>
      <c r="H779" s="1" t="s">
        <v>3066</v>
      </c>
      <c r="I779" s="1" t="s">
        <v>3071</v>
      </c>
      <c r="J779" s="1" t="s">
        <v>3852</v>
      </c>
      <c r="K779" s="1">
        <v>7</v>
      </c>
      <c r="M779" s="1" t="s">
        <v>4281</v>
      </c>
      <c r="N779" s="1">
        <v>322.45</v>
      </c>
      <c r="O779" s="1">
        <f>(ordersTable[[#This Row],[Quantity]]*ordersTable[[#This Row],[UnitPrice]])-ordersTable[[#This Row],[TotalPrice]]</f>
        <v>0</v>
      </c>
    </row>
    <row r="780" spans="1:15" x14ac:dyDescent="0.3">
      <c r="A780" s="1" t="s">
        <v>792</v>
      </c>
      <c r="B780" s="2">
        <v>45044</v>
      </c>
      <c r="C780" s="3" t="s">
        <v>1989</v>
      </c>
      <c r="D780" s="1" t="s">
        <v>2408</v>
      </c>
      <c r="E780" s="5">
        <v>4</v>
      </c>
      <c r="F780" s="4">
        <v>246.85</v>
      </c>
      <c r="G780" s="1" t="s">
        <v>2918</v>
      </c>
      <c r="H780" s="1" t="s">
        <v>3067</v>
      </c>
      <c r="I780" s="1" t="s">
        <v>3070</v>
      </c>
      <c r="J780" s="1" t="s">
        <v>3853</v>
      </c>
      <c r="K780" s="1">
        <v>8</v>
      </c>
      <c r="L780" s="1" t="s">
        <v>4277</v>
      </c>
      <c r="M780" s="1" t="s">
        <v>4282</v>
      </c>
      <c r="N780" s="1">
        <v>987.4</v>
      </c>
      <c r="O780" s="1">
        <f>(ordersTable[[#This Row],[Quantity]]*ordersTable[[#This Row],[UnitPrice]])-ordersTable[[#This Row],[TotalPrice]]</f>
        <v>0</v>
      </c>
    </row>
    <row r="781" spans="1:15" x14ac:dyDescent="0.3">
      <c r="A781" s="1" t="s">
        <v>793</v>
      </c>
      <c r="B781" s="2">
        <v>45261</v>
      </c>
      <c r="C781" s="3" t="s">
        <v>1990</v>
      </c>
      <c r="D781" s="1" t="s">
        <v>2404</v>
      </c>
      <c r="E781" s="5">
        <v>3</v>
      </c>
      <c r="F781" s="4">
        <v>588.74</v>
      </c>
      <c r="G781" s="1" t="s">
        <v>2919</v>
      </c>
      <c r="H781" s="1" t="s">
        <v>3065</v>
      </c>
      <c r="I781" s="1" t="s">
        <v>3074</v>
      </c>
      <c r="J781" s="1" t="s">
        <v>3854</v>
      </c>
      <c r="K781" s="1">
        <v>8</v>
      </c>
      <c r="L781" s="1" t="s">
        <v>4276</v>
      </c>
      <c r="M781" s="1" t="s">
        <v>4280</v>
      </c>
      <c r="N781" s="1">
        <v>1766.22</v>
      </c>
      <c r="O781" s="1">
        <f>(ordersTable[[#This Row],[Quantity]]*ordersTable[[#This Row],[UnitPrice]])-ordersTable[[#This Row],[TotalPrice]]</f>
        <v>0</v>
      </c>
    </row>
    <row r="782" spans="1:15" x14ac:dyDescent="0.3">
      <c r="A782" s="1" t="s">
        <v>794</v>
      </c>
      <c r="B782" s="2">
        <v>45382</v>
      </c>
      <c r="C782" s="3" t="s">
        <v>1991</v>
      </c>
      <c r="D782" s="1" t="s">
        <v>2408</v>
      </c>
      <c r="E782" s="5">
        <v>4</v>
      </c>
      <c r="F782" s="4">
        <v>184.48</v>
      </c>
      <c r="G782" s="1" t="s">
        <v>2755</v>
      </c>
      <c r="H782" s="1" t="s">
        <v>3066</v>
      </c>
      <c r="I782" s="1" t="s">
        <v>3071</v>
      </c>
      <c r="J782" s="1" t="s">
        <v>3855</v>
      </c>
      <c r="K782" s="1">
        <v>4</v>
      </c>
      <c r="L782" s="1" t="s">
        <v>4277</v>
      </c>
      <c r="M782" s="1" t="s">
        <v>4282</v>
      </c>
      <c r="N782" s="1">
        <v>737.92</v>
      </c>
      <c r="O782" s="1">
        <f>(ordersTable[[#This Row],[Quantity]]*ordersTable[[#This Row],[UnitPrice]])-ordersTable[[#This Row],[TotalPrice]]</f>
        <v>0</v>
      </c>
    </row>
    <row r="783" spans="1:15" x14ac:dyDescent="0.3">
      <c r="A783" s="1" t="s">
        <v>795</v>
      </c>
      <c r="B783" s="2">
        <v>45301</v>
      </c>
      <c r="C783" s="3" t="s">
        <v>1992</v>
      </c>
      <c r="D783" s="1" t="s">
        <v>2404</v>
      </c>
      <c r="E783" s="5">
        <v>5</v>
      </c>
      <c r="F783" s="4">
        <v>524.26</v>
      </c>
      <c r="G783" s="1" t="s">
        <v>2415</v>
      </c>
      <c r="H783" s="1" t="s">
        <v>3068</v>
      </c>
      <c r="I783" s="1" t="s">
        <v>3073</v>
      </c>
      <c r="J783" s="1" t="s">
        <v>3856</v>
      </c>
      <c r="K783" s="1">
        <v>5</v>
      </c>
      <c r="L783" s="1" t="s">
        <v>4276</v>
      </c>
      <c r="M783" s="1" t="s">
        <v>4279</v>
      </c>
      <c r="N783" s="1">
        <v>2621.3000000000002</v>
      </c>
      <c r="O783" s="1">
        <f>(ordersTable[[#This Row],[Quantity]]*ordersTable[[#This Row],[UnitPrice]])-ordersTable[[#This Row],[TotalPrice]]</f>
        <v>0</v>
      </c>
    </row>
    <row r="784" spans="1:15" x14ac:dyDescent="0.3">
      <c r="A784" s="1" t="s">
        <v>796</v>
      </c>
      <c r="B784" s="2">
        <v>45515</v>
      </c>
      <c r="C784" s="3" t="s">
        <v>1993</v>
      </c>
      <c r="D784" s="1" t="s">
        <v>2403</v>
      </c>
      <c r="E784" s="5">
        <v>2</v>
      </c>
      <c r="F784" s="4">
        <v>493.63</v>
      </c>
      <c r="G784" s="1" t="s">
        <v>2824</v>
      </c>
      <c r="H784" s="1" t="s">
        <v>3066</v>
      </c>
      <c r="I784" s="1" t="s">
        <v>3072</v>
      </c>
      <c r="J784" s="1" t="s">
        <v>3857</v>
      </c>
      <c r="K784" s="1">
        <v>6</v>
      </c>
      <c r="L784" s="1" t="s">
        <v>4275</v>
      </c>
      <c r="M784" s="1" t="s">
        <v>4279</v>
      </c>
      <c r="N784" s="1">
        <v>987.26</v>
      </c>
      <c r="O784" s="1">
        <f>(ordersTable[[#This Row],[Quantity]]*ordersTable[[#This Row],[UnitPrice]])-ordersTable[[#This Row],[TotalPrice]]</f>
        <v>0</v>
      </c>
    </row>
    <row r="785" spans="1:15" x14ac:dyDescent="0.3">
      <c r="A785" s="1" t="s">
        <v>797</v>
      </c>
      <c r="B785" s="2">
        <v>45803</v>
      </c>
      <c r="C785" s="3" t="s">
        <v>1994</v>
      </c>
      <c r="D785" s="1" t="s">
        <v>2407</v>
      </c>
      <c r="E785" s="5">
        <v>1</v>
      </c>
      <c r="F785" s="4">
        <v>438.34</v>
      </c>
      <c r="G785" s="1" t="s">
        <v>2888</v>
      </c>
      <c r="H785" s="1" t="s">
        <v>3068</v>
      </c>
      <c r="I785" s="1" t="s">
        <v>3072</v>
      </c>
      <c r="J785" s="1" t="s">
        <v>3858</v>
      </c>
      <c r="K785" s="1">
        <v>5</v>
      </c>
      <c r="L785" s="1" t="s">
        <v>4276</v>
      </c>
      <c r="M785" s="1" t="s">
        <v>4281</v>
      </c>
      <c r="N785" s="1">
        <v>438.34</v>
      </c>
      <c r="O785" s="1">
        <f>(ordersTable[[#This Row],[Quantity]]*ordersTable[[#This Row],[UnitPrice]])-ordersTable[[#This Row],[TotalPrice]]</f>
        <v>0</v>
      </c>
    </row>
    <row r="786" spans="1:15" x14ac:dyDescent="0.3">
      <c r="A786" s="1" t="s">
        <v>798</v>
      </c>
      <c r="B786" s="2">
        <v>45793</v>
      </c>
      <c r="C786" s="3" t="s">
        <v>1995</v>
      </c>
      <c r="D786" s="1" t="s">
        <v>2408</v>
      </c>
      <c r="E786" s="5">
        <v>1</v>
      </c>
      <c r="F786" s="4">
        <v>325.81</v>
      </c>
      <c r="G786" s="1" t="s">
        <v>2459</v>
      </c>
      <c r="H786" s="1" t="s">
        <v>3067</v>
      </c>
      <c r="I786" s="1" t="s">
        <v>3074</v>
      </c>
      <c r="J786" s="1" t="s">
        <v>3859</v>
      </c>
      <c r="K786" s="1">
        <v>1</v>
      </c>
      <c r="L786" s="1" t="s">
        <v>4277</v>
      </c>
      <c r="M786" s="1" t="s">
        <v>4279</v>
      </c>
      <c r="N786" s="1">
        <v>325.81</v>
      </c>
      <c r="O786" s="1">
        <f>(ordersTable[[#This Row],[Quantity]]*ordersTable[[#This Row],[UnitPrice]])-ordersTable[[#This Row],[TotalPrice]]</f>
        <v>0</v>
      </c>
    </row>
    <row r="787" spans="1:15" x14ac:dyDescent="0.3">
      <c r="A787" s="1" t="s">
        <v>799</v>
      </c>
      <c r="B787" s="2">
        <v>45136</v>
      </c>
      <c r="C787" s="3" t="s">
        <v>1996</v>
      </c>
      <c r="D787" s="1" t="s">
        <v>2406</v>
      </c>
      <c r="E787" s="5">
        <v>1</v>
      </c>
      <c r="F787" s="4">
        <v>176.1</v>
      </c>
      <c r="G787" s="1" t="s">
        <v>2920</v>
      </c>
      <c r="H787" s="1" t="s">
        <v>3067</v>
      </c>
      <c r="I787" s="1" t="s">
        <v>3074</v>
      </c>
      <c r="J787" s="1" t="s">
        <v>3860</v>
      </c>
      <c r="K787" s="1">
        <v>1</v>
      </c>
      <c r="L787" s="1" t="s">
        <v>4275</v>
      </c>
      <c r="M787" s="1" t="s">
        <v>4278</v>
      </c>
      <c r="N787" s="1">
        <v>176.1</v>
      </c>
      <c r="O787" s="1">
        <f>(ordersTable[[#This Row],[Quantity]]*ordersTable[[#This Row],[UnitPrice]])-ordersTable[[#This Row],[TotalPrice]]</f>
        <v>0</v>
      </c>
    </row>
    <row r="788" spans="1:15" x14ac:dyDescent="0.3">
      <c r="A788" s="1" t="s">
        <v>800</v>
      </c>
      <c r="B788" s="2">
        <v>45161</v>
      </c>
      <c r="C788" s="3" t="s">
        <v>1997</v>
      </c>
      <c r="D788" s="1" t="s">
        <v>2406</v>
      </c>
      <c r="E788" s="5">
        <v>5</v>
      </c>
      <c r="F788" s="4">
        <v>45.31</v>
      </c>
      <c r="G788" s="1" t="s">
        <v>2921</v>
      </c>
      <c r="H788" s="1" t="s">
        <v>3066</v>
      </c>
      <c r="I788" s="1" t="s">
        <v>3071</v>
      </c>
      <c r="J788" s="1" t="s">
        <v>3861</v>
      </c>
      <c r="K788" s="1">
        <v>8</v>
      </c>
      <c r="M788" s="1" t="s">
        <v>4279</v>
      </c>
      <c r="N788" s="1">
        <v>226.55</v>
      </c>
      <c r="O788" s="1">
        <f>(ordersTable[[#This Row],[Quantity]]*ordersTable[[#This Row],[UnitPrice]])-ordersTable[[#This Row],[TotalPrice]]</f>
        <v>0</v>
      </c>
    </row>
    <row r="789" spans="1:15" x14ac:dyDescent="0.3">
      <c r="A789" s="1" t="s">
        <v>801</v>
      </c>
      <c r="B789" s="2">
        <v>45368</v>
      </c>
      <c r="C789" s="3" t="s">
        <v>1998</v>
      </c>
      <c r="D789" s="1" t="s">
        <v>2409</v>
      </c>
      <c r="E789" s="5">
        <v>4</v>
      </c>
      <c r="F789" s="4">
        <v>221.96</v>
      </c>
      <c r="G789" s="1" t="s">
        <v>2922</v>
      </c>
      <c r="H789" s="1" t="s">
        <v>3069</v>
      </c>
      <c r="I789" s="1" t="s">
        <v>3073</v>
      </c>
      <c r="J789" s="1" t="s">
        <v>3862</v>
      </c>
      <c r="K789" s="1">
        <v>7</v>
      </c>
      <c r="M789" s="1" t="s">
        <v>4282</v>
      </c>
      <c r="N789" s="1">
        <v>887.84</v>
      </c>
      <c r="O789" s="1">
        <f>(ordersTable[[#This Row],[Quantity]]*ordersTable[[#This Row],[UnitPrice]])-ordersTable[[#This Row],[TotalPrice]]</f>
        <v>0</v>
      </c>
    </row>
    <row r="790" spans="1:15" x14ac:dyDescent="0.3">
      <c r="A790" s="1" t="s">
        <v>802</v>
      </c>
      <c r="B790" s="2">
        <v>45232</v>
      </c>
      <c r="C790" s="3" t="s">
        <v>1999</v>
      </c>
      <c r="D790" s="1" t="s">
        <v>2406</v>
      </c>
      <c r="E790" s="5">
        <v>2</v>
      </c>
      <c r="F790" s="4">
        <v>601.42999999999995</v>
      </c>
      <c r="G790" s="1" t="s">
        <v>2923</v>
      </c>
      <c r="H790" s="1" t="s">
        <v>3066</v>
      </c>
      <c r="I790" s="1" t="s">
        <v>3074</v>
      </c>
      <c r="J790" s="1" t="s">
        <v>3863</v>
      </c>
      <c r="K790" s="1">
        <v>5</v>
      </c>
      <c r="L790" s="1" t="s">
        <v>4276</v>
      </c>
      <c r="M790" s="1" t="s">
        <v>4278</v>
      </c>
      <c r="N790" s="1">
        <v>1202.8599999999999</v>
      </c>
      <c r="O790" s="1">
        <f>(ordersTable[[#This Row],[Quantity]]*ordersTable[[#This Row],[UnitPrice]])-ordersTable[[#This Row],[TotalPrice]]</f>
        <v>0</v>
      </c>
    </row>
    <row r="791" spans="1:15" x14ac:dyDescent="0.3">
      <c r="A791" s="1" t="s">
        <v>803</v>
      </c>
      <c r="B791" s="2">
        <v>45155</v>
      </c>
      <c r="C791" s="3" t="s">
        <v>2000</v>
      </c>
      <c r="D791" s="1" t="s">
        <v>2405</v>
      </c>
      <c r="E791" s="5">
        <v>5</v>
      </c>
      <c r="F791" s="4">
        <v>691.28</v>
      </c>
      <c r="G791" s="1" t="s">
        <v>2924</v>
      </c>
      <c r="H791" s="1" t="s">
        <v>3066</v>
      </c>
      <c r="I791" s="1" t="s">
        <v>3073</v>
      </c>
      <c r="J791" s="1" t="s">
        <v>3864</v>
      </c>
      <c r="K791" s="1">
        <v>10</v>
      </c>
      <c r="L791" s="1" t="s">
        <v>4275</v>
      </c>
      <c r="M791" s="1" t="s">
        <v>4280</v>
      </c>
      <c r="N791" s="1">
        <v>3456.4</v>
      </c>
      <c r="O791" s="1">
        <f>(ordersTable[[#This Row],[Quantity]]*ordersTable[[#This Row],[UnitPrice]])-ordersTable[[#This Row],[TotalPrice]]</f>
        <v>0</v>
      </c>
    </row>
    <row r="792" spans="1:15" x14ac:dyDescent="0.3">
      <c r="A792" s="1" t="s">
        <v>804</v>
      </c>
      <c r="B792" s="2">
        <v>45549</v>
      </c>
      <c r="C792" s="3" t="s">
        <v>2001</v>
      </c>
      <c r="D792" s="1" t="s">
        <v>2408</v>
      </c>
      <c r="E792" s="5">
        <v>4</v>
      </c>
      <c r="F792" s="4">
        <v>417.89</v>
      </c>
      <c r="G792" s="1" t="s">
        <v>2925</v>
      </c>
      <c r="H792" s="1" t="s">
        <v>3068</v>
      </c>
      <c r="I792" s="1" t="s">
        <v>3074</v>
      </c>
      <c r="J792" s="1" t="s">
        <v>3865</v>
      </c>
      <c r="K792" s="1">
        <v>4</v>
      </c>
      <c r="M792" s="1" t="s">
        <v>4282</v>
      </c>
      <c r="N792" s="1">
        <v>1671.56</v>
      </c>
      <c r="O792" s="1">
        <f>(ordersTable[[#This Row],[Quantity]]*ordersTable[[#This Row],[UnitPrice]])-ordersTable[[#This Row],[TotalPrice]]</f>
        <v>0</v>
      </c>
    </row>
    <row r="793" spans="1:15" x14ac:dyDescent="0.3">
      <c r="A793" s="1" t="s">
        <v>805</v>
      </c>
      <c r="B793" s="2">
        <v>45304</v>
      </c>
      <c r="C793" s="3" t="s">
        <v>2002</v>
      </c>
      <c r="D793" s="1" t="s">
        <v>2406</v>
      </c>
      <c r="E793" s="5">
        <v>4</v>
      </c>
      <c r="F793" s="4">
        <v>409.28</v>
      </c>
      <c r="G793" s="1" t="s">
        <v>2434</v>
      </c>
      <c r="H793" s="1" t="s">
        <v>3069</v>
      </c>
      <c r="I793" s="1" t="s">
        <v>3074</v>
      </c>
      <c r="J793" s="1" t="s">
        <v>3866</v>
      </c>
      <c r="K793" s="1">
        <v>8</v>
      </c>
      <c r="M793" s="1" t="s">
        <v>4280</v>
      </c>
      <c r="N793" s="1">
        <v>1637.12</v>
      </c>
      <c r="O793" s="1">
        <f>(ordersTable[[#This Row],[Quantity]]*ordersTable[[#This Row],[UnitPrice]])-ordersTable[[#This Row],[TotalPrice]]</f>
        <v>0</v>
      </c>
    </row>
    <row r="794" spans="1:15" x14ac:dyDescent="0.3">
      <c r="A794" s="1" t="s">
        <v>806</v>
      </c>
      <c r="B794" s="2">
        <v>45093</v>
      </c>
      <c r="C794" s="3" t="s">
        <v>2003</v>
      </c>
      <c r="D794" s="1" t="s">
        <v>2409</v>
      </c>
      <c r="E794" s="5">
        <v>2</v>
      </c>
      <c r="F794" s="4">
        <v>356.35</v>
      </c>
      <c r="G794" s="1" t="s">
        <v>2926</v>
      </c>
      <c r="H794" s="1" t="s">
        <v>3065</v>
      </c>
      <c r="I794" s="1" t="s">
        <v>3072</v>
      </c>
      <c r="J794" s="1" t="s">
        <v>3867</v>
      </c>
      <c r="K794" s="1">
        <v>6</v>
      </c>
      <c r="L794" s="1" t="s">
        <v>4277</v>
      </c>
      <c r="M794" s="1" t="s">
        <v>4281</v>
      </c>
      <c r="N794" s="1">
        <v>712.7</v>
      </c>
      <c r="O794" s="1">
        <f>(ordersTable[[#This Row],[Quantity]]*ordersTable[[#This Row],[UnitPrice]])-ordersTable[[#This Row],[TotalPrice]]</f>
        <v>0</v>
      </c>
    </row>
    <row r="795" spans="1:15" x14ac:dyDescent="0.3">
      <c r="A795" s="1" t="s">
        <v>807</v>
      </c>
      <c r="B795" s="2">
        <v>45397</v>
      </c>
      <c r="C795" s="3" t="s">
        <v>2004</v>
      </c>
      <c r="D795" s="1" t="s">
        <v>2406</v>
      </c>
      <c r="E795" s="5">
        <v>5</v>
      </c>
      <c r="F795" s="4">
        <v>170.22</v>
      </c>
      <c r="G795" s="1" t="s">
        <v>2745</v>
      </c>
      <c r="H795" s="1" t="s">
        <v>3065</v>
      </c>
      <c r="I795" s="1" t="s">
        <v>3073</v>
      </c>
      <c r="J795" s="1" t="s">
        <v>3868</v>
      </c>
      <c r="K795" s="1">
        <v>8</v>
      </c>
      <c r="M795" s="1" t="s">
        <v>4279</v>
      </c>
      <c r="N795" s="1">
        <v>851.1</v>
      </c>
      <c r="O795" s="1">
        <f>(ordersTable[[#This Row],[Quantity]]*ordersTable[[#This Row],[UnitPrice]])-ordersTable[[#This Row],[TotalPrice]]</f>
        <v>0</v>
      </c>
    </row>
    <row r="796" spans="1:15" x14ac:dyDescent="0.3">
      <c r="A796" s="1" t="s">
        <v>808</v>
      </c>
      <c r="B796" s="2">
        <v>44994</v>
      </c>
      <c r="C796" s="3" t="s">
        <v>2005</v>
      </c>
      <c r="D796" s="1" t="s">
        <v>2407</v>
      </c>
      <c r="E796" s="5">
        <v>4</v>
      </c>
      <c r="F796" s="4">
        <v>384.85</v>
      </c>
      <c r="G796" s="1" t="s">
        <v>2927</v>
      </c>
      <c r="H796" s="1" t="s">
        <v>3066</v>
      </c>
      <c r="I796" s="1" t="s">
        <v>3073</v>
      </c>
      <c r="J796" s="1" t="s">
        <v>3869</v>
      </c>
      <c r="K796" s="1">
        <v>9</v>
      </c>
      <c r="L796" s="1" t="s">
        <v>4276</v>
      </c>
      <c r="M796" s="1" t="s">
        <v>4278</v>
      </c>
      <c r="N796" s="1">
        <v>1539.4</v>
      </c>
      <c r="O796" s="1">
        <f>(ordersTable[[#This Row],[Quantity]]*ordersTable[[#This Row],[UnitPrice]])-ordersTable[[#This Row],[TotalPrice]]</f>
        <v>0</v>
      </c>
    </row>
    <row r="797" spans="1:15" x14ac:dyDescent="0.3">
      <c r="A797" s="1" t="s">
        <v>809</v>
      </c>
      <c r="B797" s="2">
        <v>45616</v>
      </c>
      <c r="C797" s="3" t="s">
        <v>2006</v>
      </c>
      <c r="D797" s="1" t="s">
        <v>2408</v>
      </c>
      <c r="E797" s="5">
        <v>4</v>
      </c>
      <c r="F797" s="4">
        <v>115.77</v>
      </c>
      <c r="G797" s="1" t="s">
        <v>2928</v>
      </c>
      <c r="H797" s="1" t="s">
        <v>3066</v>
      </c>
      <c r="I797" s="1" t="s">
        <v>3074</v>
      </c>
      <c r="J797" s="1" t="s">
        <v>3870</v>
      </c>
      <c r="K797" s="1">
        <v>7</v>
      </c>
      <c r="L797" s="1" t="s">
        <v>4275</v>
      </c>
      <c r="M797" s="1" t="s">
        <v>4278</v>
      </c>
      <c r="N797" s="1">
        <v>463.08</v>
      </c>
      <c r="O797" s="1">
        <f>(ordersTable[[#This Row],[Quantity]]*ordersTable[[#This Row],[UnitPrice]])-ordersTable[[#This Row],[TotalPrice]]</f>
        <v>0</v>
      </c>
    </row>
    <row r="798" spans="1:15" x14ac:dyDescent="0.3">
      <c r="A798" s="1" t="s">
        <v>810</v>
      </c>
      <c r="B798" s="2">
        <v>45776</v>
      </c>
      <c r="C798" s="3" t="s">
        <v>2007</v>
      </c>
      <c r="D798" s="1" t="s">
        <v>2404</v>
      </c>
      <c r="E798" s="5">
        <v>3</v>
      </c>
      <c r="F798" s="4">
        <v>579.54999999999995</v>
      </c>
      <c r="G798" s="1" t="s">
        <v>2599</v>
      </c>
      <c r="H798" s="1" t="s">
        <v>3068</v>
      </c>
      <c r="I798" s="1" t="s">
        <v>3072</v>
      </c>
      <c r="J798" s="1" t="s">
        <v>3871</v>
      </c>
      <c r="K798" s="1">
        <v>8</v>
      </c>
      <c r="L798" s="1" t="s">
        <v>4277</v>
      </c>
      <c r="M798" s="1" t="s">
        <v>4281</v>
      </c>
      <c r="N798" s="1">
        <v>1738.65</v>
      </c>
      <c r="O798" s="1">
        <f>(ordersTable[[#This Row],[Quantity]]*ordersTable[[#This Row],[UnitPrice]])-ordersTable[[#This Row],[TotalPrice]]</f>
        <v>0</v>
      </c>
    </row>
    <row r="799" spans="1:15" x14ac:dyDescent="0.3">
      <c r="A799" s="1" t="s">
        <v>811</v>
      </c>
      <c r="B799" s="2">
        <v>44984</v>
      </c>
      <c r="C799" s="3" t="s">
        <v>2008</v>
      </c>
      <c r="D799" s="1" t="s">
        <v>2408</v>
      </c>
      <c r="E799" s="5">
        <v>2</v>
      </c>
      <c r="F799" s="4">
        <v>438.76</v>
      </c>
      <c r="G799" s="1" t="s">
        <v>2929</v>
      </c>
      <c r="H799" s="1" t="s">
        <v>3065</v>
      </c>
      <c r="I799" s="1" t="s">
        <v>3072</v>
      </c>
      <c r="J799" s="1" t="s">
        <v>3872</v>
      </c>
      <c r="K799" s="1">
        <v>2</v>
      </c>
      <c r="M799" s="1" t="s">
        <v>4281</v>
      </c>
      <c r="N799" s="1">
        <v>877.52</v>
      </c>
      <c r="O799" s="1">
        <f>(ordersTable[[#This Row],[Quantity]]*ordersTable[[#This Row],[UnitPrice]])-ordersTable[[#This Row],[TotalPrice]]</f>
        <v>0</v>
      </c>
    </row>
    <row r="800" spans="1:15" x14ac:dyDescent="0.3">
      <c r="A800" s="1" t="s">
        <v>812</v>
      </c>
      <c r="B800" s="2">
        <v>45796</v>
      </c>
      <c r="C800" s="3" t="s">
        <v>2009</v>
      </c>
      <c r="D800" s="1" t="s">
        <v>2404</v>
      </c>
      <c r="E800" s="5">
        <v>5</v>
      </c>
      <c r="F800" s="4">
        <v>488.35</v>
      </c>
      <c r="G800" s="1" t="s">
        <v>2672</v>
      </c>
      <c r="H800" s="1" t="s">
        <v>3065</v>
      </c>
      <c r="I800" s="1" t="s">
        <v>3072</v>
      </c>
      <c r="J800" s="1" t="s">
        <v>3873</v>
      </c>
      <c r="K800" s="1">
        <v>9</v>
      </c>
      <c r="L800" s="1" t="s">
        <v>4276</v>
      </c>
      <c r="M800" s="1" t="s">
        <v>4280</v>
      </c>
      <c r="N800" s="1">
        <v>2441.75</v>
      </c>
      <c r="O800" s="1">
        <f>(ordersTable[[#This Row],[Quantity]]*ordersTable[[#This Row],[UnitPrice]])-ordersTable[[#This Row],[TotalPrice]]</f>
        <v>0</v>
      </c>
    </row>
    <row r="801" spans="1:15" x14ac:dyDescent="0.3">
      <c r="A801" s="1" t="s">
        <v>813</v>
      </c>
      <c r="B801" s="2">
        <v>45032</v>
      </c>
      <c r="C801" s="3" t="s">
        <v>2010</v>
      </c>
      <c r="D801" s="1" t="s">
        <v>2408</v>
      </c>
      <c r="E801" s="5">
        <v>4</v>
      </c>
      <c r="F801" s="4">
        <v>328.56</v>
      </c>
      <c r="G801" s="1" t="s">
        <v>2638</v>
      </c>
      <c r="H801" s="1" t="s">
        <v>3065</v>
      </c>
      <c r="I801" s="1" t="s">
        <v>3072</v>
      </c>
      <c r="J801" s="1" t="s">
        <v>3874</v>
      </c>
      <c r="K801" s="1">
        <v>4</v>
      </c>
      <c r="L801" s="1" t="s">
        <v>4276</v>
      </c>
      <c r="M801" s="1" t="s">
        <v>4280</v>
      </c>
      <c r="N801" s="1">
        <v>1314.24</v>
      </c>
      <c r="O801" s="1">
        <f>(ordersTable[[#This Row],[Quantity]]*ordersTable[[#This Row],[UnitPrice]])-ordersTable[[#This Row],[TotalPrice]]</f>
        <v>0</v>
      </c>
    </row>
    <row r="802" spans="1:15" x14ac:dyDescent="0.3">
      <c r="A802" s="1" t="s">
        <v>814</v>
      </c>
      <c r="B802" s="2">
        <v>45744</v>
      </c>
      <c r="C802" s="3" t="s">
        <v>2011</v>
      </c>
      <c r="D802" s="1" t="s">
        <v>2405</v>
      </c>
      <c r="E802" s="5">
        <v>1</v>
      </c>
      <c r="F802" s="4">
        <v>68.39</v>
      </c>
      <c r="G802" s="1" t="s">
        <v>2930</v>
      </c>
      <c r="H802" s="1" t="s">
        <v>3066</v>
      </c>
      <c r="I802" s="1" t="s">
        <v>3072</v>
      </c>
      <c r="J802" s="1" t="s">
        <v>3875</v>
      </c>
      <c r="K802" s="1">
        <v>3</v>
      </c>
      <c r="L802" s="1" t="s">
        <v>4277</v>
      </c>
      <c r="M802" s="1" t="s">
        <v>4281</v>
      </c>
      <c r="N802" s="1">
        <v>68.39</v>
      </c>
      <c r="O802" s="1">
        <f>(ordersTable[[#This Row],[Quantity]]*ordersTable[[#This Row],[UnitPrice]])-ordersTable[[#This Row],[TotalPrice]]</f>
        <v>0</v>
      </c>
    </row>
    <row r="803" spans="1:15" x14ac:dyDescent="0.3">
      <c r="A803" s="1" t="s">
        <v>815</v>
      </c>
      <c r="B803" s="2">
        <v>45049</v>
      </c>
      <c r="C803" s="3" t="s">
        <v>1241</v>
      </c>
      <c r="D803" s="1" t="s">
        <v>2407</v>
      </c>
      <c r="E803" s="5">
        <v>4</v>
      </c>
      <c r="F803" s="4">
        <v>595.62</v>
      </c>
      <c r="G803" s="1" t="s">
        <v>2931</v>
      </c>
      <c r="H803" s="1" t="s">
        <v>3065</v>
      </c>
      <c r="I803" s="1" t="s">
        <v>3074</v>
      </c>
      <c r="J803" s="1" t="s">
        <v>3876</v>
      </c>
      <c r="K803" s="1">
        <v>8</v>
      </c>
      <c r="L803" s="1" t="s">
        <v>4276</v>
      </c>
      <c r="M803" s="1" t="s">
        <v>4281</v>
      </c>
      <c r="N803" s="1">
        <v>2382.48</v>
      </c>
      <c r="O803" s="1">
        <f>(ordersTable[[#This Row],[Quantity]]*ordersTable[[#This Row],[UnitPrice]])-ordersTable[[#This Row],[TotalPrice]]</f>
        <v>0</v>
      </c>
    </row>
    <row r="804" spans="1:15" x14ac:dyDescent="0.3">
      <c r="A804" s="1" t="s">
        <v>816</v>
      </c>
      <c r="B804" s="2">
        <v>45339</v>
      </c>
      <c r="C804" s="3" t="s">
        <v>2012</v>
      </c>
      <c r="D804" s="1" t="s">
        <v>2406</v>
      </c>
      <c r="E804" s="5">
        <v>5</v>
      </c>
      <c r="F804" s="4">
        <v>644.64</v>
      </c>
      <c r="G804" s="1" t="s">
        <v>2932</v>
      </c>
      <c r="H804" s="1" t="s">
        <v>3068</v>
      </c>
      <c r="I804" s="1" t="s">
        <v>3071</v>
      </c>
      <c r="J804" s="1" t="s">
        <v>3877</v>
      </c>
      <c r="K804" s="1">
        <v>6</v>
      </c>
      <c r="L804" s="1" t="s">
        <v>4276</v>
      </c>
      <c r="M804" s="1" t="s">
        <v>4280</v>
      </c>
      <c r="N804" s="1">
        <v>3223.2</v>
      </c>
      <c r="O804" s="1">
        <f>(ordersTable[[#This Row],[Quantity]]*ordersTable[[#This Row],[UnitPrice]])-ordersTable[[#This Row],[TotalPrice]]</f>
        <v>0</v>
      </c>
    </row>
    <row r="805" spans="1:15" x14ac:dyDescent="0.3">
      <c r="A805" s="1" t="s">
        <v>817</v>
      </c>
      <c r="B805" s="2">
        <v>45158</v>
      </c>
      <c r="C805" s="3" t="s">
        <v>2013</v>
      </c>
      <c r="D805" s="1" t="s">
        <v>2403</v>
      </c>
      <c r="E805" s="5">
        <v>5</v>
      </c>
      <c r="F805" s="4">
        <v>397.81</v>
      </c>
      <c r="G805" s="1" t="s">
        <v>2454</v>
      </c>
      <c r="H805" s="1" t="s">
        <v>3065</v>
      </c>
      <c r="I805" s="1" t="s">
        <v>3072</v>
      </c>
      <c r="J805" s="1" t="s">
        <v>3878</v>
      </c>
      <c r="K805" s="1">
        <v>5</v>
      </c>
      <c r="L805" s="1" t="s">
        <v>4275</v>
      </c>
      <c r="M805" s="1" t="s">
        <v>4279</v>
      </c>
      <c r="N805" s="1">
        <v>1989.05</v>
      </c>
      <c r="O805" s="1">
        <f>(ordersTable[[#This Row],[Quantity]]*ordersTable[[#This Row],[UnitPrice]])-ordersTable[[#This Row],[TotalPrice]]</f>
        <v>0</v>
      </c>
    </row>
    <row r="806" spans="1:15" x14ac:dyDescent="0.3">
      <c r="A806" s="1" t="s">
        <v>818</v>
      </c>
      <c r="B806" s="2">
        <v>45292</v>
      </c>
      <c r="C806" s="3" t="s">
        <v>2014</v>
      </c>
      <c r="D806" s="1" t="s">
        <v>2406</v>
      </c>
      <c r="E806" s="5">
        <v>3</v>
      </c>
      <c r="F806" s="4">
        <v>236.5</v>
      </c>
      <c r="G806" s="1" t="s">
        <v>2933</v>
      </c>
      <c r="H806" s="1" t="s">
        <v>3066</v>
      </c>
      <c r="I806" s="1" t="s">
        <v>3073</v>
      </c>
      <c r="J806" s="1" t="s">
        <v>3879</v>
      </c>
      <c r="K806" s="1">
        <v>8</v>
      </c>
      <c r="L806" s="1" t="s">
        <v>4276</v>
      </c>
      <c r="M806" s="1" t="s">
        <v>4280</v>
      </c>
      <c r="N806" s="1">
        <v>709.5</v>
      </c>
      <c r="O806" s="1">
        <f>(ordersTable[[#This Row],[Quantity]]*ordersTable[[#This Row],[UnitPrice]])-ordersTable[[#This Row],[TotalPrice]]</f>
        <v>0</v>
      </c>
    </row>
    <row r="807" spans="1:15" x14ac:dyDescent="0.3">
      <c r="A807" s="1" t="s">
        <v>819</v>
      </c>
      <c r="B807" s="2">
        <v>45580</v>
      </c>
      <c r="C807" s="3" t="s">
        <v>2015</v>
      </c>
      <c r="D807" s="1" t="s">
        <v>2408</v>
      </c>
      <c r="E807" s="5">
        <v>5</v>
      </c>
      <c r="F807" s="4">
        <v>472.01</v>
      </c>
      <c r="G807" s="1" t="s">
        <v>2934</v>
      </c>
      <c r="H807" s="1" t="s">
        <v>3068</v>
      </c>
      <c r="I807" s="1" t="s">
        <v>3071</v>
      </c>
      <c r="J807" s="1" t="s">
        <v>3880</v>
      </c>
      <c r="K807" s="1">
        <v>10</v>
      </c>
      <c r="L807" s="1" t="s">
        <v>4275</v>
      </c>
      <c r="M807" s="1" t="s">
        <v>4280</v>
      </c>
      <c r="N807" s="1">
        <v>2360.0500000000002</v>
      </c>
      <c r="O807" s="1">
        <f>(ordersTable[[#This Row],[Quantity]]*ordersTable[[#This Row],[UnitPrice]])-ordersTable[[#This Row],[TotalPrice]]</f>
        <v>0</v>
      </c>
    </row>
    <row r="808" spans="1:15" x14ac:dyDescent="0.3">
      <c r="A808" s="1" t="s">
        <v>820</v>
      </c>
      <c r="B808" s="2">
        <v>45170</v>
      </c>
      <c r="C808" s="3" t="s">
        <v>2016</v>
      </c>
      <c r="D808" s="1" t="s">
        <v>2406</v>
      </c>
      <c r="E808" s="5">
        <v>5</v>
      </c>
      <c r="F808" s="4">
        <v>253.75</v>
      </c>
      <c r="G808" s="1" t="s">
        <v>2650</v>
      </c>
      <c r="H808" s="1" t="s">
        <v>3066</v>
      </c>
      <c r="I808" s="1" t="s">
        <v>3074</v>
      </c>
      <c r="J808" s="1" t="s">
        <v>3881</v>
      </c>
      <c r="K808" s="1">
        <v>9</v>
      </c>
      <c r="L808" s="1" t="s">
        <v>4277</v>
      </c>
      <c r="M808" s="1" t="s">
        <v>4278</v>
      </c>
      <c r="N808" s="1">
        <v>1268.75</v>
      </c>
      <c r="O808" s="1">
        <f>(ordersTable[[#This Row],[Quantity]]*ordersTable[[#This Row],[UnitPrice]])-ordersTable[[#This Row],[TotalPrice]]</f>
        <v>0</v>
      </c>
    </row>
    <row r="809" spans="1:15" x14ac:dyDescent="0.3">
      <c r="A809" s="1" t="s">
        <v>821</v>
      </c>
      <c r="B809" s="2">
        <v>45606</v>
      </c>
      <c r="C809" s="3" t="s">
        <v>2017</v>
      </c>
      <c r="D809" s="1" t="s">
        <v>2403</v>
      </c>
      <c r="E809" s="5">
        <v>3</v>
      </c>
      <c r="F809" s="4">
        <v>676.21</v>
      </c>
      <c r="G809" s="1" t="s">
        <v>2935</v>
      </c>
      <c r="H809" s="1" t="s">
        <v>3066</v>
      </c>
      <c r="I809" s="1" t="s">
        <v>3073</v>
      </c>
      <c r="J809" s="1" t="s">
        <v>3882</v>
      </c>
      <c r="K809" s="1">
        <v>5</v>
      </c>
      <c r="L809" s="1" t="s">
        <v>4275</v>
      </c>
      <c r="M809" s="1" t="s">
        <v>4282</v>
      </c>
      <c r="N809" s="1">
        <v>2028.63</v>
      </c>
      <c r="O809" s="1">
        <f>(ordersTable[[#This Row],[Quantity]]*ordersTable[[#This Row],[UnitPrice]])-ordersTable[[#This Row],[TotalPrice]]</f>
        <v>0</v>
      </c>
    </row>
    <row r="810" spans="1:15" x14ac:dyDescent="0.3">
      <c r="A810" s="1" t="s">
        <v>822</v>
      </c>
      <c r="B810" s="2">
        <v>45335</v>
      </c>
      <c r="C810" s="3" t="s">
        <v>2018</v>
      </c>
      <c r="D810" s="1" t="s">
        <v>2409</v>
      </c>
      <c r="E810" s="5">
        <v>3</v>
      </c>
      <c r="F810" s="4">
        <v>134.05000000000001</v>
      </c>
      <c r="G810" s="1" t="s">
        <v>2936</v>
      </c>
      <c r="H810" s="1" t="s">
        <v>3067</v>
      </c>
      <c r="I810" s="1" t="s">
        <v>3070</v>
      </c>
      <c r="J810" s="1" t="s">
        <v>3883</v>
      </c>
      <c r="K810" s="1">
        <v>3</v>
      </c>
      <c r="M810" s="1" t="s">
        <v>4282</v>
      </c>
      <c r="N810" s="1">
        <v>402.15</v>
      </c>
      <c r="O810" s="1">
        <f>(ordersTable[[#This Row],[Quantity]]*ordersTable[[#This Row],[UnitPrice]])-ordersTable[[#This Row],[TotalPrice]]</f>
        <v>0</v>
      </c>
    </row>
    <row r="811" spans="1:15" x14ac:dyDescent="0.3">
      <c r="A811" s="1" t="s">
        <v>823</v>
      </c>
      <c r="B811" s="2">
        <v>45391</v>
      </c>
      <c r="C811" s="3" t="s">
        <v>2019</v>
      </c>
      <c r="D811" s="1" t="s">
        <v>2409</v>
      </c>
      <c r="E811" s="5">
        <v>5</v>
      </c>
      <c r="F811" s="4">
        <v>217.43</v>
      </c>
      <c r="G811" s="1" t="s">
        <v>2470</v>
      </c>
      <c r="H811" s="1" t="s">
        <v>3065</v>
      </c>
      <c r="I811" s="1" t="s">
        <v>3070</v>
      </c>
      <c r="J811" s="1" t="s">
        <v>3884</v>
      </c>
      <c r="K811" s="1">
        <v>10</v>
      </c>
      <c r="L811" s="1" t="s">
        <v>4275</v>
      </c>
      <c r="M811" s="1" t="s">
        <v>4278</v>
      </c>
      <c r="N811" s="1">
        <v>1087.1500000000001</v>
      </c>
      <c r="O811" s="1">
        <f>(ordersTable[[#This Row],[Quantity]]*ordersTable[[#This Row],[UnitPrice]])-ordersTable[[#This Row],[TotalPrice]]</f>
        <v>0</v>
      </c>
    </row>
    <row r="812" spans="1:15" x14ac:dyDescent="0.3">
      <c r="A812" s="1" t="s">
        <v>824</v>
      </c>
      <c r="B812" s="2">
        <v>45077</v>
      </c>
      <c r="C812" s="3" t="s">
        <v>2020</v>
      </c>
      <c r="D812" s="1" t="s">
        <v>2405</v>
      </c>
      <c r="E812" s="5">
        <v>1</v>
      </c>
      <c r="F812" s="4">
        <v>553.55999999999995</v>
      </c>
      <c r="G812" s="1" t="s">
        <v>2937</v>
      </c>
      <c r="H812" s="1" t="s">
        <v>3067</v>
      </c>
      <c r="I812" s="1" t="s">
        <v>3071</v>
      </c>
      <c r="J812" s="1" t="s">
        <v>3885</v>
      </c>
      <c r="K812" s="1">
        <v>5</v>
      </c>
      <c r="M812" s="1" t="s">
        <v>4279</v>
      </c>
      <c r="N812" s="1">
        <v>553.55999999999995</v>
      </c>
      <c r="O812" s="1">
        <f>(ordersTable[[#This Row],[Quantity]]*ordersTable[[#This Row],[UnitPrice]])-ordersTable[[#This Row],[TotalPrice]]</f>
        <v>0</v>
      </c>
    </row>
    <row r="813" spans="1:15" x14ac:dyDescent="0.3">
      <c r="A813" s="1" t="s">
        <v>825</v>
      </c>
      <c r="B813" s="2">
        <v>45235</v>
      </c>
      <c r="C813" s="3" t="s">
        <v>2021</v>
      </c>
      <c r="D813" s="1" t="s">
        <v>2408</v>
      </c>
      <c r="E813" s="5">
        <v>2</v>
      </c>
      <c r="F813" s="4">
        <v>28.55</v>
      </c>
      <c r="G813" s="1" t="s">
        <v>2907</v>
      </c>
      <c r="H813" s="1" t="s">
        <v>3068</v>
      </c>
      <c r="I813" s="1" t="s">
        <v>3070</v>
      </c>
      <c r="J813" s="1" t="s">
        <v>3886</v>
      </c>
      <c r="K813" s="1">
        <v>7</v>
      </c>
      <c r="L813" s="1" t="s">
        <v>4275</v>
      </c>
      <c r="M813" s="1" t="s">
        <v>4280</v>
      </c>
      <c r="N813" s="1">
        <v>57.1</v>
      </c>
      <c r="O813" s="1">
        <f>(ordersTable[[#This Row],[Quantity]]*ordersTable[[#This Row],[UnitPrice]])-ordersTable[[#This Row],[TotalPrice]]</f>
        <v>0</v>
      </c>
    </row>
    <row r="814" spans="1:15" x14ac:dyDescent="0.3">
      <c r="A814" s="1" t="s">
        <v>826</v>
      </c>
      <c r="B814" s="2">
        <v>45317</v>
      </c>
      <c r="C814" s="3" t="s">
        <v>2022</v>
      </c>
      <c r="D814" s="1" t="s">
        <v>2404</v>
      </c>
      <c r="E814" s="5">
        <v>2</v>
      </c>
      <c r="F814" s="4">
        <v>255.26</v>
      </c>
      <c r="G814" s="1" t="s">
        <v>2638</v>
      </c>
      <c r="H814" s="1" t="s">
        <v>3067</v>
      </c>
      <c r="I814" s="1" t="s">
        <v>3071</v>
      </c>
      <c r="J814" s="1" t="s">
        <v>3887</v>
      </c>
      <c r="K814" s="1">
        <v>6</v>
      </c>
      <c r="L814" s="1" t="s">
        <v>4276</v>
      </c>
      <c r="M814" s="1" t="s">
        <v>4282</v>
      </c>
      <c r="N814" s="1">
        <v>510.52</v>
      </c>
      <c r="O814" s="1">
        <f>(ordersTable[[#This Row],[Quantity]]*ordersTable[[#This Row],[UnitPrice]])-ordersTable[[#This Row],[TotalPrice]]</f>
        <v>0</v>
      </c>
    </row>
    <row r="815" spans="1:15" x14ac:dyDescent="0.3">
      <c r="A815" s="1" t="s">
        <v>827</v>
      </c>
      <c r="B815" s="2">
        <v>45731</v>
      </c>
      <c r="C815" s="3" t="s">
        <v>2023</v>
      </c>
      <c r="D815" s="1" t="s">
        <v>2408</v>
      </c>
      <c r="E815" s="5">
        <v>5</v>
      </c>
      <c r="F815" s="4">
        <v>292.54000000000002</v>
      </c>
      <c r="G815" s="1" t="s">
        <v>2649</v>
      </c>
      <c r="H815" s="1" t="s">
        <v>3065</v>
      </c>
      <c r="I815" s="1" t="s">
        <v>3071</v>
      </c>
      <c r="J815" s="1" t="s">
        <v>3888</v>
      </c>
      <c r="K815" s="1">
        <v>8</v>
      </c>
      <c r="L815" s="1" t="s">
        <v>4276</v>
      </c>
      <c r="M815" s="1" t="s">
        <v>4280</v>
      </c>
      <c r="N815" s="1">
        <v>1462.7</v>
      </c>
      <c r="O815" s="1">
        <f>(ordersTable[[#This Row],[Quantity]]*ordersTable[[#This Row],[UnitPrice]])-ordersTable[[#This Row],[TotalPrice]]</f>
        <v>0</v>
      </c>
    </row>
    <row r="816" spans="1:15" x14ac:dyDescent="0.3">
      <c r="A816" s="1" t="s">
        <v>828</v>
      </c>
      <c r="B816" s="2">
        <v>45637</v>
      </c>
      <c r="C816" s="3" t="s">
        <v>2024</v>
      </c>
      <c r="D816" s="1" t="s">
        <v>2406</v>
      </c>
      <c r="E816" s="5">
        <v>4</v>
      </c>
      <c r="F816" s="4">
        <v>147.51</v>
      </c>
      <c r="G816" s="1" t="s">
        <v>2938</v>
      </c>
      <c r="H816" s="1" t="s">
        <v>3065</v>
      </c>
      <c r="I816" s="1" t="s">
        <v>3074</v>
      </c>
      <c r="J816" s="1" t="s">
        <v>3889</v>
      </c>
      <c r="K816" s="1">
        <v>4</v>
      </c>
      <c r="L816" s="1" t="s">
        <v>4277</v>
      </c>
      <c r="M816" s="1" t="s">
        <v>4278</v>
      </c>
      <c r="N816" s="1">
        <v>590.04</v>
      </c>
      <c r="O816" s="1">
        <f>(ordersTable[[#This Row],[Quantity]]*ordersTable[[#This Row],[UnitPrice]])-ordersTable[[#This Row],[TotalPrice]]</f>
        <v>0</v>
      </c>
    </row>
    <row r="817" spans="1:15" x14ac:dyDescent="0.3">
      <c r="A817" s="1" t="s">
        <v>829</v>
      </c>
      <c r="B817" s="2">
        <v>45508</v>
      </c>
      <c r="C817" s="3" t="s">
        <v>2025</v>
      </c>
      <c r="D817" s="1" t="s">
        <v>2407</v>
      </c>
      <c r="E817" s="5">
        <v>3</v>
      </c>
      <c r="F817" s="4">
        <v>569.84</v>
      </c>
      <c r="G817" s="1" t="s">
        <v>2939</v>
      </c>
      <c r="H817" s="1" t="s">
        <v>3068</v>
      </c>
      <c r="I817" s="1" t="s">
        <v>3071</v>
      </c>
      <c r="J817" s="1" t="s">
        <v>3890</v>
      </c>
      <c r="K817" s="1">
        <v>8</v>
      </c>
      <c r="L817" s="1" t="s">
        <v>4277</v>
      </c>
      <c r="M817" s="1" t="s">
        <v>4278</v>
      </c>
      <c r="N817" s="1">
        <v>1709.52</v>
      </c>
      <c r="O817" s="1">
        <f>(ordersTable[[#This Row],[Quantity]]*ordersTable[[#This Row],[UnitPrice]])-ordersTable[[#This Row],[TotalPrice]]</f>
        <v>0</v>
      </c>
    </row>
    <row r="818" spans="1:15" x14ac:dyDescent="0.3">
      <c r="A818" s="1" t="s">
        <v>830</v>
      </c>
      <c r="B818" s="2">
        <v>45343</v>
      </c>
      <c r="C818" s="3" t="s">
        <v>2026</v>
      </c>
      <c r="D818" s="1" t="s">
        <v>2405</v>
      </c>
      <c r="E818" s="5">
        <v>5</v>
      </c>
      <c r="F818" s="4">
        <v>574.79</v>
      </c>
      <c r="G818" s="1" t="s">
        <v>2601</v>
      </c>
      <c r="H818" s="1" t="s">
        <v>3067</v>
      </c>
      <c r="I818" s="1" t="s">
        <v>3074</v>
      </c>
      <c r="J818" s="1" t="s">
        <v>3891</v>
      </c>
      <c r="K818" s="1">
        <v>8</v>
      </c>
      <c r="L818" s="1" t="s">
        <v>4277</v>
      </c>
      <c r="M818" s="1" t="s">
        <v>4279</v>
      </c>
      <c r="N818" s="1">
        <v>2873.95</v>
      </c>
      <c r="O818" s="1">
        <f>(ordersTable[[#This Row],[Quantity]]*ordersTable[[#This Row],[UnitPrice]])-ordersTable[[#This Row],[TotalPrice]]</f>
        <v>0</v>
      </c>
    </row>
    <row r="819" spans="1:15" x14ac:dyDescent="0.3">
      <c r="A819" s="1" t="s">
        <v>831</v>
      </c>
      <c r="B819" s="2">
        <v>45204</v>
      </c>
      <c r="C819" s="3" t="s">
        <v>2027</v>
      </c>
      <c r="D819" s="1" t="s">
        <v>2406</v>
      </c>
      <c r="E819" s="5">
        <v>4</v>
      </c>
      <c r="F819" s="4">
        <v>598.19000000000005</v>
      </c>
      <c r="G819" s="1" t="s">
        <v>2940</v>
      </c>
      <c r="H819" s="1" t="s">
        <v>3067</v>
      </c>
      <c r="I819" s="1" t="s">
        <v>3073</v>
      </c>
      <c r="J819" s="1" t="s">
        <v>3892</v>
      </c>
      <c r="K819" s="1">
        <v>7</v>
      </c>
      <c r="L819" s="1" t="s">
        <v>4277</v>
      </c>
      <c r="M819" s="1" t="s">
        <v>4280</v>
      </c>
      <c r="N819" s="1">
        <v>2392.7600000000002</v>
      </c>
      <c r="O819" s="1">
        <f>(ordersTable[[#This Row],[Quantity]]*ordersTable[[#This Row],[UnitPrice]])-ordersTable[[#This Row],[TotalPrice]]</f>
        <v>0</v>
      </c>
    </row>
    <row r="820" spans="1:15" x14ac:dyDescent="0.3">
      <c r="A820" s="1" t="s">
        <v>832</v>
      </c>
      <c r="B820" s="2">
        <v>44987</v>
      </c>
      <c r="C820" s="3" t="s">
        <v>2028</v>
      </c>
      <c r="D820" s="1" t="s">
        <v>2404</v>
      </c>
      <c r="E820" s="5">
        <v>4</v>
      </c>
      <c r="F820" s="4">
        <v>390.84</v>
      </c>
      <c r="G820" s="1" t="s">
        <v>2868</v>
      </c>
      <c r="H820" s="1" t="s">
        <v>3067</v>
      </c>
      <c r="I820" s="1" t="s">
        <v>3071</v>
      </c>
      <c r="J820" s="1" t="s">
        <v>3893</v>
      </c>
      <c r="K820" s="1">
        <v>9</v>
      </c>
      <c r="L820" s="1" t="s">
        <v>4277</v>
      </c>
      <c r="M820" s="1" t="s">
        <v>4279</v>
      </c>
      <c r="N820" s="1">
        <v>1563.36</v>
      </c>
      <c r="O820" s="1">
        <f>(ordersTable[[#This Row],[Quantity]]*ordersTable[[#This Row],[UnitPrice]])-ordersTable[[#This Row],[TotalPrice]]</f>
        <v>0</v>
      </c>
    </row>
    <row r="821" spans="1:15" x14ac:dyDescent="0.3">
      <c r="A821" s="1" t="s">
        <v>833</v>
      </c>
      <c r="B821" s="2">
        <v>45563</v>
      </c>
      <c r="C821" s="3" t="s">
        <v>2029</v>
      </c>
      <c r="D821" s="1" t="s">
        <v>2404</v>
      </c>
      <c r="E821" s="5">
        <v>2</v>
      </c>
      <c r="F821" s="4">
        <v>398.45</v>
      </c>
      <c r="G821" s="1" t="s">
        <v>2941</v>
      </c>
      <c r="H821" s="1" t="s">
        <v>3065</v>
      </c>
      <c r="I821" s="1" t="s">
        <v>3071</v>
      </c>
      <c r="J821" s="1" t="s">
        <v>3894</v>
      </c>
      <c r="K821" s="1">
        <v>7</v>
      </c>
      <c r="L821" s="1" t="s">
        <v>4275</v>
      </c>
      <c r="M821" s="1" t="s">
        <v>4282</v>
      </c>
      <c r="N821" s="1">
        <v>796.9</v>
      </c>
      <c r="O821" s="1">
        <f>(ordersTable[[#This Row],[Quantity]]*ordersTable[[#This Row],[UnitPrice]])-ordersTable[[#This Row],[TotalPrice]]</f>
        <v>0</v>
      </c>
    </row>
    <row r="822" spans="1:15" x14ac:dyDescent="0.3">
      <c r="A822" s="1" t="s">
        <v>834</v>
      </c>
      <c r="B822" s="2">
        <v>45073</v>
      </c>
      <c r="C822" s="3" t="s">
        <v>2030</v>
      </c>
      <c r="D822" s="1" t="s">
        <v>2404</v>
      </c>
      <c r="E822" s="5">
        <v>5</v>
      </c>
      <c r="F822" s="4">
        <v>623.80999999999995</v>
      </c>
      <c r="G822" s="1" t="s">
        <v>2706</v>
      </c>
      <c r="H822" s="1" t="s">
        <v>3069</v>
      </c>
      <c r="I822" s="1" t="s">
        <v>3072</v>
      </c>
      <c r="J822" s="1" t="s">
        <v>3895</v>
      </c>
      <c r="K822" s="1">
        <v>6</v>
      </c>
      <c r="L822" s="1" t="s">
        <v>4276</v>
      </c>
      <c r="M822" s="1" t="s">
        <v>4280</v>
      </c>
      <c r="N822" s="1">
        <v>3119.05</v>
      </c>
      <c r="O822" s="1">
        <f>(ordersTable[[#This Row],[Quantity]]*ordersTable[[#This Row],[UnitPrice]])-ordersTable[[#This Row],[TotalPrice]]</f>
        <v>0</v>
      </c>
    </row>
    <row r="823" spans="1:15" x14ac:dyDescent="0.3">
      <c r="A823" s="1" t="s">
        <v>835</v>
      </c>
      <c r="B823" s="2">
        <v>45640</v>
      </c>
      <c r="C823" s="3" t="s">
        <v>2031</v>
      </c>
      <c r="D823" s="1" t="s">
        <v>2408</v>
      </c>
      <c r="E823" s="5">
        <v>4</v>
      </c>
      <c r="F823" s="4">
        <v>174.49</v>
      </c>
      <c r="G823" s="1" t="s">
        <v>2698</v>
      </c>
      <c r="H823" s="1" t="s">
        <v>3067</v>
      </c>
      <c r="I823" s="1" t="s">
        <v>3073</v>
      </c>
      <c r="J823" s="1" t="s">
        <v>3896</v>
      </c>
      <c r="K823" s="1">
        <v>5</v>
      </c>
      <c r="L823" s="1" t="s">
        <v>4275</v>
      </c>
      <c r="M823" s="1" t="s">
        <v>4281</v>
      </c>
      <c r="N823" s="1">
        <v>697.96</v>
      </c>
      <c r="O823" s="1">
        <f>(ordersTable[[#This Row],[Quantity]]*ordersTable[[#This Row],[UnitPrice]])-ordersTable[[#This Row],[TotalPrice]]</f>
        <v>0</v>
      </c>
    </row>
    <row r="824" spans="1:15" x14ac:dyDescent="0.3">
      <c r="A824" s="1" t="s">
        <v>836</v>
      </c>
      <c r="B824" s="2">
        <v>45731</v>
      </c>
      <c r="C824" s="3" t="s">
        <v>2032</v>
      </c>
      <c r="D824" s="1" t="s">
        <v>2404</v>
      </c>
      <c r="E824" s="5">
        <v>1</v>
      </c>
      <c r="F824" s="4">
        <v>479.56</v>
      </c>
      <c r="G824" s="1" t="s">
        <v>2476</v>
      </c>
      <c r="H824" s="1" t="s">
        <v>3068</v>
      </c>
      <c r="I824" s="1" t="s">
        <v>3072</v>
      </c>
      <c r="J824" s="1" t="s">
        <v>3897</v>
      </c>
      <c r="K824" s="1">
        <v>1</v>
      </c>
      <c r="L824" s="1" t="s">
        <v>4275</v>
      </c>
      <c r="M824" s="1" t="s">
        <v>4282</v>
      </c>
      <c r="N824" s="1">
        <v>479.56</v>
      </c>
      <c r="O824" s="1">
        <f>(ordersTable[[#This Row],[Quantity]]*ordersTable[[#This Row],[UnitPrice]])-ordersTable[[#This Row],[TotalPrice]]</f>
        <v>0</v>
      </c>
    </row>
    <row r="825" spans="1:15" x14ac:dyDescent="0.3">
      <c r="A825" s="1" t="s">
        <v>837</v>
      </c>
      <c r="B825" s="2">
        <v>45572</v>
      </c>
      <c r="C825" s="3" t="s">
        <v>2033</v>
      </c>
      <c r="D825" s="1" t="s">
        <v>2408</v>
      </c>
      <c r="E825" s="5">
        <v>4</v>
      </c>
      <c r="F825" s="4">
        <v>653.13</v>
      </c>
      <c r="G825" s="1" t="s">
        <v>2942</v>
      </c>
      <c r="H825" s="1" t="s">
        <v>3067</v>
      </c>
      <c r="I825" s="1" t="s">
        <v>3070</v>
      </c>
      <c r="J825" s="1" t="s">
        <v>3898</v>
      </c>
      <c r="K825" s="1">
        <v>8</v>
      </c>
      <c r="L825" s="1" t="s">
        <v>4277</v>
      </c>
      <c r="M825" s="1" t="s">
        <v>4278</v>
      </c>
      <c r="N825" s="1">
        <v>2612.52</v>
      </c>
      <c r="O825" s="1">
        <f>(ordersTable[[#This Row],[Quantity]]*ordersTable[[#This Row],[UnitPrice]])-ordersTable[[#This Row],[TotalPrice]]</f>
        <v>0</v>
      </c>
    </row>
    <row r="826" spans="1:15" x14ac:dyDescent="0.3">
      <c r="A826" s="1" t="s">
        <v>838</v>
      </c>
      <c r="B826" s="2">
        <v>45167</v>
      </c>
      <c r="C826" s="3" t="s">
        <v>2034</v>
      </c>
      <c r="D826" s="1" t="s">
        <v>2403</v>
      </c>
      <c r="E826" s="5">
        <v>3</v>
      </c>
      <c r="F826" s="4">
        <v>481.1</v>
      </c>
      <c r="G826" s="1" t="s">
        <v>2943</v>
      </c>
      <c r="H826" s="1" t="s">
        <v>3067</v>
      </c>
      <c r="I826" s="1" t="s">
        <v>3072</v>
      </c>
      <c r="J826" s="1" t="s">
        <v>3899</v>
      </c>
      <c r="K826" s="1">
        <v>3</v>
      </c>
      <c r="L826" s="1" t="s">
        <v>4276</v>
      </c>
      <c r="M826" s="1" t="s">
        <v>4281</v>
      </c>
      <c r="N826" s="1">
        <v>1443.3</v>
      </c>
      <c r="O826" s="1">
        <f>(ordersTable[[#This Row],[Quantity]]*ordersTable[[#This Row],[UnitPrice]])-ordersTable[[#This Row],[TotalPrice]]</f>
        <v>0</v>
      </c>
    </row>
    <row r="827" spans="1:15" x14ac:dyDescent="0.3">
      <c r="A827" s="1" t="s">
        <v>839</v>
      </c>
      <c r="B827" s="2">
        <v>45742</v>
      </c>
      <c r="C827" s="3" t="s">
        <v>2035</v>
      </c>
      <c r="D827" s="1" t="s">
        <v>2409</v>
      </c>
      <c r="E827" s="5">
        <v>5</v>
      </c>
      <c r="F827" s="4">
        <v>271.69</v>
      </c>
      <c r="G827" s="1" t="s">
        <v>2944</v>
      </c>
      <c r="H827" s="1" t="s">
        <v>3066</v>
      </c>
      <c r="I827" s="1" t="s">
        <v>3072</v>
      </c>
      <c r="J827" s="1" t="s">
        <v>3900</v>
      </c>
      <c r="K827" s="1">
        <v>7</v>
      </c>
      <c r="L827" s="1" t="s">
        <v>4276</v>
      </c>
      <c r="M827" s="1" t="s">
        <v>4278</v>
      </c>
      <c r="N827" s="1">
        <v>1358.45</v>
      </c>
      <c r="O827" s="1">
        <f>(ordersTable[[#This Row],[Quantity]]*ordersTable[[#This Row],[UnitPrice]])-ordersTable[[#This Row],[TotalPrice]]</f>
        <v>0</v>
      </c>
    </row>
    <row r="828" spans="1:15" x14ac:dyDescent="0.3">
      <c r="A828" s="1" t="s">
        <v>840</v>
      </c>
      <c r="B828" s="2">
        <v>45724</v>
      </c>
      <c r="C828" s="3" t="s">
        <v>2036</v>
      </c>
      <c r="D828" s="1" t="s">
        <v>2407</v>
      </c>
      <c r="E828" s="5">
        <v>3</v>
      </c>
      <c r="F828" s="4">
        <v>463.81</v>
      </c>
      <c r="G828" s="1" t="s">
        <v>2570</v>
      </c>
      <c r="H828" s="1" t="s">
        <v>3066</v>
      </c>
      <c r="I828" s="1" t="s">
        <v>3072</v>
      </c>
      <c r="J828" s="1" t="s">
        <v>3901</v>
      </c>
      <c r="K828" s="1">
        <v>8</v>
      </c>
      <c r="L828" s="1" t="s">
        <v>4277</v>
      </c>
      <c r="M828" s="1" t="s">
        <v>4280</v>
      </c>
      <c r="N828" s="1">
        <v>1391.43</v>
      </c>
      <c r="O828" s="1">
        <f>(ordersTable[[#This Row],[Quantity]]*ordersTable[[#This Row],[UnitPrice]])-ordersTable[[#This Row],[TotalPrice]]</f>
        <v>0</v>
      </c>
    </row>
    <row r="829" spans="1:15" x14ac:dyDescent="0.3">
      <c r="A829" s="1" t="s">
        <v>841</v>
      </c>
      <c r="B829" s="2">
        <v>45071</v>
      </c>
      <c r="C829" s="3" t="s">
        <v>2037</v>
      </c>
      <c r="D829" s="1" t="s">
        <v>2405</v>
      </c>
      <c r="E829" s="5">
        <v>2</v>
      </c>
      <c r="F829" s="4">
        <v>639.88</v>
      </c>
      <c r="G829" s="1" t="s">
        <v>2597</v>
      </c>
      <c r="H829" s="1" t="s">
        <v>3069</v>
      </c>
      <c r="I829" s="1" t="s">
        <v>3073</v>
      </c>
      <c r="J829" s="1" t="s">
        <v>3902</v>
      </c>
      <c r="K829" s="1">
        <v>5</v>
      </c>
      <c r="L829" s="1" t="s">
        <v>4277</v>
      </c>
      <c r="M829" s="1" t="s">
        <v>4278</v>
      </c>
      <c r="N829" s="1">
        <v>1279.76</v>
      </c>
      <c r="O829" s="1">
        <f>(ordersTable[[#This Row],[Quantity]]*ordersTable[[#This Row],[UnitPrice]])-ordersTable[[#This Row],[TotalPrice]]</f>
        <v>0</v>
      </c>
    </row>
    <row r="830" spans="1:15" x14ac:dyDescent="0.3">
      <c r="A830" s="1" t="s">
        <v>842</v>
      </c>
      <c r="B830" s="2">
        <v>45497</v>
      </c>
      <c r="C830" s="3" t="s">
        <v>2038</v>
      </c>
      <c r="D830" s="1" t="s">
        <v>2406</v>
      </c>
      <c r="E830" s="5">
        <v>4</v>
      </c>
      <c r="F830" s="4">
        <v>404.58</v>
      </c>
      <c r="G830" s="1" t="s">
        <v>2945</v>
      </c>
      <c r="H830" s="1" t="s">
        <v>3069</v>
      </c>
      <c r="I830" s="1" t="s">
        <v>3070</v>
      </c>
      <c r="J830" s="1" t="s">
        <v>3903</v>
      </c>
      <c r="K830" s="1">
        <v>5</v>
      </c>
      <c r="L830" s="1" t="s">
        <v>4276</v>
      </c>
      <c r="M830" s="1" t="s">
        <v>4278</v>
      </c>
      <c r="N830" s="1">
        <v>1618.32</v>
      </c>
      <c r="O830" s="1">
        <f>(ordersTable[[#This Row],[Quantity]]*ordersTable[[#This Row],[UnitPrice]])-ordersTable[[#This Row],[TotalPrice]]</f>
        <v>0</v>
      </c>
    </row>
    <row r="831" spans="1:15" x14ac:dyDescent="0.3">
      <c r="A831" s="1" t="s">
        <v>843</v>
      </c>
      <c r="B831" s="2">
        <v>44962</v>
      </c>
      <c r="C831" s="3" t="s">
        <v>2039</v>
      </c>
      <c r="D831" s="1" t="s">
        <v>2403</v>
      </c>
      <c r="E831" s="5">
        <v>1</v>
      </c>
      <c r="F831" s="4">
        <v>76.930000000000007</v>
      </c>
      <c r="G831" s="1" t="s">
        <v>2946</v>
      </c>
      <c r="H831" s="1" t="s">
        <v>3065</v>
      </c>
      <c r="I831" s="1" t="s">
        <v>3073</v>
      </c>
      <c r="J831" s="1" t="s">
        <v>3904</v>
      </c>
      <c r="K831" s="1">
        <v>6</v>
      </c>
      <c r="L831" s="1" t="s">
        <v>4277</v>
      </c>
      <c r="M831" s="1" t="s">
        <v>4278</v>
      </c>
      <c r="N831" s="1">
        <v>76.930000000000007</v>
      </c>
      <c r="O831" s="1">
        <f>(ordersTable[[#This Row],[Quantity]]*ordersTable[[#This Row],[UnitPrice]])-ordersTable[[#This Row],[TotalPrice]]</f>
        <v>0</v>
      </c>
    </row>
    <row r="832" spans="1:15" x14ac:dyDescent="0.3">
      <c r="A832" s="1" t="s">
        <v>844</v>
      </c>
      <c r="B832" s="2">
        <v>45637</v>
      </c>
      <c r="C832" s="3" t="s">
        <v>2040</v>
      </c>
      <c r="D832" s="1" t="s">
        <v>2405</v>
      </c>
      <c r="E832" s="5">
        <v>4</v>
      </c>
      <c r="F832" s="4">
        <v>190.64</v>
      </c>
      <c r="G832" s="1" t="s">
        <v>2947</v>
      </c>
      <c r="H832" s="1" t="s">
        <v>3069</v>
      </c>
      <c r="I832" s="1" t="s">
        <v>3073</v>
      </c>
      <c r="J832" s="1" t="s">
        <v>3905</v>
      </c>
      <c r="K832" s="1">
        <v>5</v>
      </c>
      <c r="L832" s="1" t="s">
        <v>4275</v>
      </c>
      <c r="M832" s="1" t="s">
        <v>4280</v>
      </c>
      <c r="N832" s="1">
        <v>762.56</v>
      </c>
      <c r="O832" s="1">
        <f>(ordersTable[[#This Row],[Quantity]]*ordersTable[[#This Row],[UnitPrice]])-ordersTable[[#This Row],[TotalPrice]]</f>
        <v>0</v>
      </c>
    </row>
    <row r="833" spans="1:15" x14ac:dyDescent="0.3">
      <c r="A833" s="1" t="s">
        <v>845</v>
      </c>
      <c r="B833" s="2">
        <v>45278</v>
      </c>
      <c r="C833" s="3" t="s">
        <v>2041</v>
      </c>
      <c r="D833" s="1" t="s">
        <v>2407</v>
      </c>
      <c r="E833" s="5">
        <v>2</v>
      </c>
      <c r="F833" s="4">
        <v>88.73</v>
      </c>
      <c r="G833" s="1" t="s">
        <v>2851</v>
      </c>
      <c r="H833" s="1" t="s">
        <v>3066</v>
      </c>
      <c r="I833" s="1" t="s">
        <v>3074</v>
      </c>
      <c r="J833" s="1" t="s">
        <v>3906</v>
      </c>
      <c r="K833" s="1">
        <v>5</v>
      </c>
      <c r="M833" s="1" t="s">
        <v>4282</v>
      </c>
      <c r="N833" s="1">
        <v>177.46</v>
      </c>
      <c r="O833" s="1">
        <f>(ordersTable[[#This Row],[Quantity]]*ordersTable[[#This Row],[UnitPrice]])-ordersTable[[#This Row],[TotalPrice]]</f>
        <v>0</v>
      </c>
    </row>
    <row r="834" spans="1:15" x14ac:dyDescent="0.3">
      <c r="A834" s="1" t="s">
        <v>846</v>
      </c>
      <c r="B834" s="2">
        <v>45363</v>
      </c>
      <c r="C834" s="3" t="s">
        <v>2042</v>
      </c>
      <c r="D834" s="1" t="s">
        <v>2406</v>
      </c>
      <c r="E834" s="5">
        <v>5</v>
      </c>
      <c r="F834" s="4">
        <v>485.71</v>
      </c>
      <c r="G834" s="1" t="s">
        <v>2423</v>
      </c>
      <c r="H834" s="1" t="s">
        <v>3066</v>
      </c>
      <c r="I834" s="1" t="s">
        <v>3074</v>
      </c>
      <c r="J834" s="1" t="s">
        <v>3907</v>
      </c>
      <c r="K834" s="1">
        <v>10</v>
      </c>
      <c r="L834" s="1" t="s">
        <v>4275</v>
      </c>
      <c r="M834" s="1" t="s">
        <v>4279</v>
      </c>
      <c r="N834" s="1">
        <v>2428.5500000000002</v>
      </c>
      <c r="O834" s="1">
        <f>(ordersTable[[#This Row],[Quantity]]*ordersTable[[#This Row],[UnitPrice]])-ordersTable[[#This Row],[TotalPrice]]</f>
        <v>0</v>
      </c>
    </row>
    <row r="835" spans="1:15" x14ac:dyDescent="0.3">
      <c r="A835" s="1" t="s">
        <v>847</v>
      </c>
      <c r="B835" s="2">
        <v>45730</v>
      </c>
      <c r="C835" s="3" t="s">
        <v>2043</v>
      </c>
      <c r="D835" s="1" t="s">
        <v>2404</v>
      </c>
      <c r="E835" s="5">
        <v>5</v>
      </c>
      <c r="F835" s="4">
        <v>78.290000000000006</v>
      </c>
      <c r="G835" s="1" t="s">
        <v>2948</v>
      </c>
      <c r="H835" s="1" t="s">
        <v>3067</v>
      </c>
      <c r="I835" s="1" t="s">
        <v>3070</v>
      </c>
      <c r="J835" s="1" t="s">
        <v>3908</v>
      </c>
      <c r="K835" s="1">
        <v>5</v>
      </c>
      <c r="L835" s="1" t="s">
        <v>4277</v>
      </c>
      <c r="M835" s="1" t="s">
        <v>4279</v>
      </c>
      <c r="N835" s="1">
        <v>391.45</v>
      </c>
      <c r="O835" s="1">
        <f>(ordersTable[[#This Row],[Quantity]]*ordersTable[[#This Row],[UnitPrice]])-ordersTable[[#This Row],[TotalPrice]]</f>
        <v>0</v>
      </c>
    </row>
    <row r="836" spans="1:15" x14ac:dyDescent="0.3">
      <c r="A836" s="1" t="s">
        <v>848</v>
      </c>
      <c r="B836" s="2">
        <v>45393</v>
      </c>
      <c r="C836" s="3" t="s">
        <v>2044</v>
      </c>
      <c r="D836" s="1" t="s">
        <v>2407</v>
      </c>
      <c r="E836" s="5">
        <v>5</v>
      </c>
      <c r="F836" s="4">
        <v>22.14</v>
      </c>
      <c r="G836" s="1" t="s">
        <v>2616</v>
      </c>
      <c r="H836" s="1" t="s">
        <v>3069</v>
      </c>
      <c r="I836" s="1" t="s">
        <v>3072</v>
      </c>
      <c r="J836" s="1" t="s">
        <v>3909</v>
      </c>
      <c r="K836" s="1">
        <v>10</v>
      </c>
      <c r="M836" s="1" t="s">
        <v>4278</v>
      </c>
      <c r="N836" s="1">
        <v>110.7</v>
      </c>
      <c r="O836" s="1">
        <f>(ordersTable[[#This Row],[Quantity]]*ordersTable[[#This Row],[UnitPrice]])-ordersTable[[#This Row],[TotalPrice]]</f>
        <v>0</v>
      </c>
    </row>
    <row r="837" spans="1:15" x14ac:dyDescent="0.3">
      <c r="A837" s="1" t="s">
        <v>849</v>
      </c>
      <c r="B837" s="2">
        <v>45377</v>
      </c>
      <c r="C837" s="3" t="s">
        <v>2045</v>
      </c>
      <c r="D837" s="1" t="s">
        <v>2409</v>
      </c>
      <c r="E837" s="5">
        <v>1</v>
      </c>
      <c r="F837" s="4">
        <v>679.65</v>
      </c>
      <c r="G837" s="1" t="s">
        <v>2949</v>
      </c>
      <c r="H837" s="1" t="s">
        <v>3065</v>
      </c>
      <c r="I837" s="1" t="s">
        <v>3070</v>
      </c>
      <c r="J837" s="1" t="s">
        <v>3910</v>
      </c>
      <c r="K837" s="1">
        <v>6</v>
      </c>
      <c r="L837" s="1" t="s">
        <v>4276</v>
      </c>
      <c r="M837" s="1" t="s">
        <v>4282</v>
      </c>
      <c r="N837" s="1">
        <v>679.65</v>
      </c>
      <c r="O837" s="1">
        <f>(ordersTable[[#This Row],[Quantity]]*ordersTable[[#This Row],[UnitPrice]])-ordersTable[[#This Row],[TotalPrice]]</f>
        <v>0</v>
      </c>
    </row>
    <row r="838" spans="1:15" x14ac:dyDescent="0.3">
      <c r="A838" s="1" t="s">
        <v>850</v>
      </c>
      <c r="B838" s="2">
        <v>44959</v>
      </c>
      <c r="C838" s="3" t="s">
        <v>2046</v>
      </c>
      <c r="D838" s="1" t="s">
        <v>2404</v>
      </c>
      <c r="E838" s="5">
        <v>1</v>
      </c>
      <c r="F838" s="4">
        <v>178.44</v>
      </c>
      <c r="G838" s="1" t="s">
        <v>2860</v>
      </c>
      <c r="H838" s="1" t="s">
        <v>3067</v>
      </c>
      <c r="I838" s="1" t="s">
        <v>3071</v>
      </c>
      <c r="J838" s="1" t="s">
        <v>3911</v>
      </c>
      <c r="K838" s="1">
        <v>2</v>
      </c>
      <c r="L838" s="1" t="s">
        <v>4276</v>
      </c>
      <c r="M838" s="1" t="s">
        <v>4282</v>
      </c>
      <c r="N838" s="1">
        <v>178.44</v>
      </c>
      <c r="O838" s="1">
        <f>(ordersTable[[#This Row],[Quantity]]*ordersTable[[#This Row],[UnitPrice]])-ordersTable[[#This Row],[TotalPrice]]</f>
        <v>0</v>
      </c>
    </row>
    <row r="839" spans="1:15" x14ac:dyDescent="0.3">
      <c r="A839" s="1" t="s">
        <v>851</v>
      </c>
      <c r="B839" s="2">
        <v>45822</v>
      </c>
      <c r="C839" s="3" t="s">
        <v>2047</v>
      </c>
      <c r="D839" s="1" t="s">
        <v>2406</v>
      </c>
      <c r="E839" s="5">
        <v>5</v>
      </c>
      <c r="F839" s="4">
        <v>655.55</v>
      </c>
      <c r="G839" s="1" t="s">
        <v>2839</v>
      </c>
      <c r="H839" s="1" t="s">
        <v>3066</v>
      </c>
      <c r="I839" s="1" t="s">
        <v>3073</v>
      </c>
      <c r="J839" s="1" t="s">
        <v>3912</v>
      </c>
      <c r="K839" s="1">
        <v>5</v>
      </c>
      <c r="M839" s="1" t="s">
        <v>4280</v>
      </c>
      <c r="N839" s="1">
        <v>3277.75</v>
      </c>
      <c r="O839" s="1">
        <f>(ordersTable[[#This Row],[Quantity]]*ordersTable[[#This Row],[UnitPrice]])-ordersTable[[#This Row],[TotalPrice]]</f>
        <v>0</v>
      </c>
    </row>
    <row r="840" spans="1:15" x14ac:dyDescent="0.3">
      <c r="A840" s="1" t="s">
        <v>852</v>
      </c>
      <c r="B840" s="2">
        <v>45393</v>
      </c>
      <c r="C840" s="3" t="s">
        <v>2048</v>
      </c>
      <c r="D840" s="1" t="s">
        <v>2409</v>
      </c>
      <c r="E840" s="5">
        <v>4</v>
      </c>
      <c r="F840" s="4">
        <v>577.08000000000004</v>
      </c>
      <c r="G840" s="1" t="s">
        <v>2475</v>
      </c>
      <c r="H840" s="1" t="s">
        <v>3066</v>
      </c>
      <c r="I840" s="1" t="s">
        <v>3074</v>
      </c>
      <c r="J840" s="1" t="s">
        <v>3913</v>
      </c>
      <c r="K840" s="1">
        <v>8</v>
      </c>
      <c r="M840" s="1" t="s">
        <v>4281</v>
      </c>
      <c r="N840" s="1">
        <v>2308.3200000000002</v>
      </c>
      <c r="O840" s="1">
        <f>(ordersTable[[#This Row],[Quantity]]*ordersTable[[#This Row],[UnitPrice]])-ordersTable[[#This Row],[TotalPrice]]</f>
        <v>0</v>
      </c>
    </row>
    <row r="841" spans="1:15" x14ac:dyDescent="0.3">
      <c r="A841" s="1" t="s">
        <v>853</v>
      </c>
      <c r="B841" s="2">
        <v>45162</v>
      </c>
      <c r="C841" s="3" t="s">
        <v>2049</v>
      </c>
      <c r="D841" s="1" t="s">
        <v>2406</v>
      </c>
      <c r="E841" s="5">
        <v>3</v>
      </c>
      <c r="F841" s="4">
        <v>197.97</v>
      </c>
      <c r="G841" s="1" t="s">
        <v>2902</v>
      </c>
      <c r="H841" s="1" t="s">
        <v>3066</v>
      </c>
      <c r="I841" s="1" t="s">
        <v>3071</v>
      </c>
      <c r="J841" s="1" t="s">
        <v>3914</v>
      </c>
      <c r="K841" s="1">
        <v>5</v>
      </c>
      <c r="M841" s="1" t="s">
        <v>4282</v>
      </c>
      <c r="N841" s="1">
        <v>593.91</v>
      </c>
      <c r="O841" s="1">
        <f>(ordersTable[[#This Row],[Quantity]]*ordersTable[[#This Row],[UnitPrice]])-ordersTable[[#This Row],[TotalPrice]]</f>
        <v>0</v>
      </c>
    </row>
    <row r="842" spans="1:15" x14ac:dyDescent="0.3">
      <c r="A842" s="1" t="s">
        <v>854</v>
      </c>
      <c r="B842" s="2">
        <v>45305</v>
      </c>
      <c r="C842" s="3" t="s">
        <v>2050</v>
      </c>
      <c r="D842" s="1" t="s">
        <v>2406</v>
      </c>
      <c r="E842" s="5">
        <v>3</v>
      </c>
      <c r="F842" s="4">
        <v>411.95</v>
      </c>
      <c r="G842" s="1" t="s">
        <v>2774</v>
      </c>
      <c r="H842" s="1" t="s">
        <v>3067</v>
      </c>
      <c r="I842" s="1" t="s">
        <v>3073</v>
      </c>
      <c r="J842" s="1" t="s">
        <v>3915</v>
      </c>
      <c r="K842" s="1">
        <v>7</v>
      </c>
      <c r="L842" s="1" t="s">
        <v>4276</v>
      </c>
      <c r="M842" s="1" t="s">
        <v>4279</v>
      </c>
      <c r="N842" s="1">
        <v>1235.8499999999999</v>
      </c>
      <c r="O842" s="1">
        <f>(ordersTable[[#This Row],[Quantity]]*ordersTable[[#This Row],[UnitPrice]])-ordersTable[[#This Row],[TotalPrice]]</f>
        <v>0</v>
      </c>
    </row>
    <row r="843" spans="1:15" x14ac:dyDescent="0.3">
      <c r="A843" s="1" t="s">
        <v>855</v>
      </c>
      <c r="B843" s="2">
        <v>45554</v>
      </c>
      <c r="C843" s="3" t="s">
        <v>2051</v>
      </c>
      <c r="D843" s="1" t="s">
        <v>2407</v>
      </c>
      <c r="E843" s="5">
        <v>2</v>
      </c>
      <c r="F843" s="4">
        <v>443.22</v>
      </c>
      <c r="G843" s="1" t="s">
        <v>2950</v>
      </c>
      <c r="H843" s="1" t="s">
        <v>3067</v>
      </c>
      <c r="I843" s="1" t="s">
        <v>3073</v>
      </c>
      <c r="J843" s="1" t="s">
        <v>3916</v>
      </c>
      <c r="K843" s="1">
        <v>5</v>
      </c>
      <c r="M843" s="1" t="s">
        <v>4281</v>
      </c>
      <c r="N843" s="1">
        <v>886.44</v>
      </c>
      <c r="O843" s="1">
        <f>(ordersTable[[#This Row],[Quantity]]*ordersTable[[#This Row],[UnitPrice]])-ordersTable[[#This Row],[TotalPrice]]</f>
        <v>0</v>
      </c>
    </row>
    <row r="844" spans="1:15" x14ac:dyDescent="0.3">
      <c r="A844" s="1" t="s">
        <v>856</v>
      </c>
      <c r="B844" s="2">
        <v>45784</v>
      </c>
      <c r="C844" s="3" t="s">
        <v>2052</v>
      </c>
      <c r="D844" s="1" t="s">
        <v>2408</v>
      </c>
      <c r="E844" s="5">
        <v>3</v>
      </c>
      <c r="F844" s="4">
        <v>364.14</v>
      </c>
      <c r="G844" s="1" t="s">
        <v>2877</v>
      </c>
      <c r="H844" s="1" t="s">
        <v>3066</v>
      </c>
      <c r="I844" s="1" t="s">
        <v>3074</v>
      </c>
      <c r="J844" s="1" t="s">
        <v>3917</v>
      </c>
      <c r="K844" s="1">
        <v>7</v>
      </c>
      <c r="L844" s="1" t="s">
        <v>4277</v>
      </c>
      <c r="M844" s="1" t="s">
        <v>4279</v>
      </c>
      <c r="N844" s="1">
        <v>1092.42</v>
      </c>
      <c r="O844" s="1">
        <f>(ordersTable[[#This Row],[Quantity]]*ordersTable[[#This Row],[UnitPrice]])-ordersTable[[#This Row],[TotalPrice]]</f>
        <v>0</v>
      </c>
    </row>
    <row r="845" spans="1:15" x14ac:dyDescent="0.3">
      <c r="A845" s="1" t="s">
        <v>857</v>
      </c>
      <c r="B845" s="2">
        <v>45790</v>
      </c>
      <c r="C845" s="3" t="s">
        <v>2053</v>
      </c>
      <c r="D845" s="1" t="s">
        <v>2409</v>
      </c>
      <c r="E845" s="5">
        <v>3</v>
      </c>
      <c r="F845" s="4">
        <v>430.06</v>
      </c>
      <c r="G845" s="1" t="s">
        <v>2951</v>
      </c>
      <c r="H845" s="1" t="s">
        <v>3068</v>
      </c>
      <c r="I845" s="1" t="s">
        <v>3071</v>
      </c>
      <c r="J845" s="1" t="s">
        <v>3918</v>
      </c>
      <c r="K845" s="1">
        <v>8</v>
      </c>
      <c r="L845" s="1" t="s">
        <v>4276</v>
      </c>
      <c r="M845" s="1" t="s">
        <v>4278</v>
      </c>
      <c r="N845" s="1">
        <v>1290.18</v>
      </c>
      <c r="O845" s="1">
        <f>(ordersTable[[#This Row],[Quantity]]*ordersTable[[#This Row],[UnitPrice]])-ordersTable[[#This Row],[TotalPrice]]</f>
        <v>0</v>
      </c>
    </row>
    <row r="846" spans="1:15" x14ac:dyDescent="0.3">
      <c r="A846" s="1" t="s">
        <v>858</v>
      </c>
      <c r="B846" s="2">
        <v>45630</v>
      </c>
      <c r="C846" s="3" t="s">
        <v>2054</v>
      </c>
      <c r="D846" s="1" t="s">
        <v>2406</v>
      </c>
      <c r="E846" s="5">
        <v>1</v>
      </c>
      <c r="F846" s="4">
        <v>320.92</v>
      </c>
      <c r="G846" s="1" t="s">
        <v>2952</v>
      </c>
      <c r="H846" s="1" t="s">
        <v>3066</v>
      </c>
      <c r="I846" s="1" t="s">
        <v>3072</v>
      </c>
      <c r="J846" s="1" t="s">
        <v>3919</v>
      </c>
      <c r="K846" s="1">
        <v>5</v>
      </c>
      <c r="L846" s="1" t="s">
        <v>4276</v>
      </c>
      <c r="M846" s="1" t="s">
        <v>4281</v>
      </c>
      <c r="N846" s="1">
        <v>320.92</v>
      </c>
      <c r="O846" s="1">
        <f>(ordersTable[[#This Row],[Quantity]]*ordersTable[[#This Row],[UnitPrice]])-ordersTable[[#This Row],[TotalPrice]]</f>
        <v>0</v>
      </c>
    </row>
    <row r="847" spans="1:15" x14ac:dyDescent="0.3">
      <c r="A847" s="1" t="s">
        <v>859</v>
      </c>
      <c r="B847" s="2">
        <v>45207</v>
      </c>
      <c r="C847" s="3" t="s">
        <v>2055</v>
      </c>
      <c r="D847" s="1" t="s">
        <v>2404</v>
      </c>
      <c r="E847" s="5">
        <v>3</v>
      </c>
      <c r="F847" s="4">
        <v>107.36</v>
      </c>
      <c r="G847" s="1" t="s">
        <v>2953</v>
      </c>
      <c r="H847" s="1" t="s">
        <v>3068</v>
      </c>
      <c r="I847" s="1" t="s">
        <v>3073</v>
      </c>
      <c r="J847" s="1" t="s">
        <v>3920</v>
      </c>
      <c r="K847" s="1">
        <v>5</v>
      </c>
      <c r="L847" s="1" t="s">
        <v>4276</v>
      </c>
      <c r="M847" s="1" t="s">
        <v>4282</v>
      </c>
      <c r="N847" s="1">
        <v>322.08</v>
      </c>
      <c r="O847" s="1">
        <f>(ordersTable[[#This Row],[Quantity]]*ordersTable[[#This Row],[UnitPrice]])-ordersTable[[#This Row],[TotalPrice]]</f>
        <v>0</v>
      </c>
    </row>
    <row r="848" spans="1:15" x14ac:dyDescent="0.3">
      <c r="A848" s="1" t="s">
        <v>860</v>
      </c>
      <c r="B848" s="2">
        <v>45477</v>
      </c>
      <c r="C848" s="3" t="s">
        <v>2056</v>
      </c>
      <c r="D848" s="1" t="s">
        <v>2409</v>
      </c>
      <c r="E848" s="5">
        <v>2</v>
      </c>
      <c r="F848" s="4">
        <v>359.86</v>
      </c>
      <c r="G848" s="1" t="s">
        <v>2954</v>
      </c>
      <c r="H848" s="1" t="s">
        <v>3065</v>
      </c>
      <c r="I848" s="1" t="s">
        <v>3071</v>
      </c>
      <c r="J848" s="1" t="s">
        <v>3921</v>
      </c>
      <c r="K848" s="1">
        <v>4</v>
      </c>
      <c r="M848" s="1" t="s">
        <v>4279</v>
      </c>
      <c r="N848" s="1">
        <v>719.72</v>
      </c>
      <c r="O848" s="1">
        <f>(ordersTable[[#This Row],[Quantity]]*ordersTable[[#This Row],[UnitPrice]])-ordersTable[[#This Row],[TotalPrice]]</f>
        <v>0</v>
      </c>
    </row>
    <row r="849" spans="1:15" x14ac:dyDescent="0.3">
      <c r="A849" s="1" t="s">
        <v>861</v>
      </c>
      <c r="B849" s="2">
        <v>45614</v>
      </c>
      <c r="C849" s="3" t="s">
        <v>2057</v>
      </c>
      <c r="D849" s="1" t="s">
        <v>2407</v>
      </c>
      <c r="E849" s="5">
        <v>4</v>
      </c>
      <c r="F849" s="4">
        <v>434.23</v>
      </c>
      <c r="G849" s="1" t="s">
        <v>2657</v>
      </c>
      <c r="H849" s="1" t="s">
        <v>3066</v>
      </c>
      <c r="I849" s="1" t="s">
        <v>3070</v>
      </c>
      <c r="J849" s="1" t="s">
        <v>3922</v>
      </c>
      <c r="K849" s="1">
        <v>8</v>
      </c>
      <c r="L849" s="1" t="s">
        <v>4276</v>
      </c>
      <c r="M849" s="1" t="s">
        <v>4280</v>
      </c>
      <c r="N849" s="1">
        <v>1736.92</v>
      </c>
      <c r="O849" s="1">
        <f>(ordersTable[[#This Row],[Quantity]]*ordersTable[[#This Row],[UnitPrice]])-ordersTable[[#This Row],[TotalPrice]]</f>
        <v>0</v>
      </c>
    </row>
    <row r="850" spans="1:15" x14ac:dyDescent="0.3">
      <c r="A850" s="1" t="s">
        <v>862</v>
      </c>
      <c r="B850" s="2">
        <v>44927</v>
      </c>
      <c r="C850" s="3" t="s">
        <v>2058</v>
      </c>
      <c r="D850" s="1" t="s">
        <v>2406</v>
      </c>
      <c r="E850" s="5">
        <v>2</v>
      </c>
      <c r="F850" s="4">
        <v>645.85</v>
      </c>
      <c r="G850" s="1" t="s">
        <v>2466</v>
      </c>
      <c r="H850" s="1" t="s">
        <v>3066</v>
      </c>
      <c r="I850" s="1" t="s">
        <v>3070</v>
      </c>
      <c r="J850" s="1" t="s">
        <v>3923</v>
      </c>
      <c r="K850" s="1">
        <v>5</v>
      </c>
      <c r="M850" s="1" t="s">
        <v>4279</v>
      </c>
      <c r="N850" s="1">
        <v>1291.7</v>
      </c>
      <c r="O850" s="1">
        <f>(ordersTable[[#This Row],[Quantity]]*ordersTable[[#This Row],[UnitPrice]])-ordersTable[[#This Row],[TotalPrice]]</f>
        <v>0</v>
      </c>
    </row>
    <row r="851" spans="1:15" x14ac:dyDescent="0.3">
      <c r="A851" s="1" t="s">
        <v>863</v>
      </c>
      <c r="B851" s="2">
        <v>45817</v>
      </c>
      <c r="C851" s="3" t="s">
        <v>2059</v>
      </c>
      <c r="D851" s="1" t="s">
        <v>2407</v>
      </c>
      <c r="E851" s="5">
        <v>4</v>
      </c>
      <c r="F851" s="4">
        <v>214.35</v>
      </c>
      <c r="G851" s="1" t="s">
        <v>2943</v>
      </c>
      <c r="H851" s="1" t="s">
        <v>3065</v>
      </c>
      <c r="I851" s="1" t="s">
        <v>3071</v>
      </c>
      <c r="J851" s="1" t="s">
        <v>3924</v>
      </c>
      <c r="K851" s="1">
        <v>7</v>
      </c>
      <c r="L851" s="1" t="s">
        <v>4277</v>
      </c>
      <c r="M851" s="1" t="s">
        <v>4279</v>
      </c>
      <c r="N851" s="1">
        <v>857.4</v>
      </c>
      <c r="O851" s="1">
        <f>(ordersTable[[#This Row],[Quantity]]*ordersTable[[#This Row],[UnitPrice]])-ordersTable[[#This Row],[TotalPrice]]</f>
        <v>0</v>
      </c>
    </row>
    <row r="852" spans="1:15" x14ac:dyDescent="0.3">
      <c r="A852" s="1" t="s">
        <v>864</v>
      </c>
      <c r="B852" s="2">
        <v>45774</v>
      </c>
      <c r="C852" s="3" t="s">
        <v>2060</v>
      </c>
      <c r="D852" s="1" t="s">
        <v>2403</v>
      </c>
      <c r="E852" s="5">
        <v>3</v>
      </c>
      <c r="F852" s="4">
        <v>638.5</v>
      </c>
      <c r="G852" s="1" t="s">
        <v>2893</v>
      </c>
      <c r="H852" s="1" t="s">
        <v>3065</v>
      </c>
      <c r="I852" s="1" t="s">
        <v>3071</v>
      </c>
      <c r="J852" s="1" t="s">
        <v>3925</v>
      </c>
      <c r="K852" s="1">
        <v>4</v>
      </c>
      <c r="L852" s="1" t="s">
        <v>4276</v>
      </c>
      <c r="M852" s="1" t="s">
        <v>4278</v>
      </c>
      <c r="N852" s="1">
        <v>1915.5</v>
      </c>
      <c r="O852" s="1">
        <f>(ordersTable[[#This Row],[Quantity]]*ordersTable[[#This Row],[UnitPrice]])-ordersTable[[#This Row],[TotalPrice]]</f>
        <v>0</v>
      </c>
    </row>
    <row r="853" spans="1:15" x14ac:dyDescent="0.3">
      <c r="A853" s="1" t="s">
        <v>865</v>
      </c>
      <c r="B853" s="2">
        <v>45272</v>
      </c>
      <c r="C853" s="3" t="s">
        <v>2061</v>
      </c>
      <c r="D853" s="1" t="s">
        <v>2408</v>
      </c>
      <c r="E853" s="5">
        <v>1</v>
      </c>
      <c r="F853" s="4">
        <v>365.57</v>
      </c>
      <c r="G853" s="1" t="s">
        <v>2482</v>
      </c>
      <c r="H853" s="1" t="s">
        <v>3066</v>
      </c>
      <c r="I853" s="1" t="s">
        <v>3071</v>
      </c>
      <c r="J853" s="1" t="s">
        <v>3926</v>
      </c>
      <c r="K853" s="1">
        <v>5</v>
      </c>
      <c r="L853" s="1" t="s">
        <v>4275</v>
      </c>
      <c r="M853" s="1" t="s">
        <v>4280</v>
      </c>
      <c r="N853" s="1">
        <v>365.57</v>
      </c>
      <c r="O853" s="1">
        <f>(ordersTable[[#This Row],[Quantity]]*ordersTable[[#This Row],[UnitPrice]])-ordersTable[[#This Row],[TotalPrice]]</f>
        <v>0</v>
      </c>
    </row>
    <row r="854" spans="1:15" x14ac:dyDescent="0.3">
      <c r="A854" s="1" t="s">
        <v>866</v>
      </c>
      <c r="B854" s="2">
        <v>45589</v>
      </c>
      <c r="C854" s="3" t="s">
        <v>2062</v>
      </c>
      <c r="D854" s="1" t="s">
        <v>2409</v>
      </c>
      <c r="E854" s="5">
        <v>3</v>
      </c>
      <c r="F854" s="4">
        <v>568.04999999999995</v>
      </c>
      <c r="G854" s="1" t="s">
        <v>2955</v>
      </c>
      <c r="H854" s="1" t="s">
        <v>3068</v>
      </c>
      <c r="I854" s="1" t="s">
        <v>3074</v>
      </c>
      <c r="J854" s="1" t="s">
        <v>3927</v>
      </c>
      <c r="K854" s="1">
        <v>6</v>
      </c>
      <c r="L854" s="1" t="s">
        <v>4275</v>
      </c>
      <c r="M854" s="1" t="s">
        <v>4282</v>
      </c>
      <c r="N854" s="1">
        <v>1704.15</v>
      </c>
      <c r="O854" s="1">
        <f>(ordersTable[[#This Row],[Quantity]]*ordersTable[[#This Row],[UnitPrice]])-ordersTable[[#This Row],[TotalPrice]]</f>
        <v>0</v>
      </c>
    </row>
    <row r="855" spans="1:15" x14ac:dyDescent="0.3">
      <c r="A855" s="1" t="s">
        <v>867</v>
      </c>
      <c r="B855" s="2">
        <v>45215</v>
      </c>
      <c r="C855" s="3" t="s">
        <v>2063</v>
      </c>
      <c r="D855" s="1" t="s">
        <v>2407</v>
      </c>
      <c r="E855" s="5">
        <v>3</v>
      </c>
      <c r="F855" s="4">
        <v>490.01</v>
      </c>
      <c r="G855" s="1" t="s">
        <v>2663</v>
      </c>
      <c r="H855" s="1" t="s">
        <v>3069</v>
      </c>
      <c r="I855" s="1" t="s">
        <v>3072</v>
      </c>
      <c r="J855" s="1" t="s">
        <v>3928</v>
      </c>
      <c r="K855" s="1">
        <v>4</v>
      </c>
      <c r="L855" s="1" t="s">
        <v>4275</v>
      </c>
      <c r="M855" s="1" t="s">
        <v>4281</v>
      </c>
      <c r="N855" s="1">
        <v>1470.03</v>
      </c>
      <c r="O855" s="1">
        <f>(ordersTable[[#This Row],[Quantity]]*ordersTable[[#This Row],[UnitPrice]])-ordersTable[[#This Row],[TotalPrice]]</f>
        <v>0</v>
      </c>
    </row>
    <row r="856" spans="1:15" x14ac:dyDescent="0.3">
      <c r="A856" s="1" t="s">
        <v>868</v>
      </c>
      <c r="B856" s="2">
        <v>45821</v>
      </c>
      <c r="C856" s="3" t="s">
        <v>2064</v>
      </c>
      <c r="D856" s="1" t="s">
        <v>2408</v>
      </c>
      <c r="E856" s="5">
        <v>3</v>
      </c>
      <c r="F856" s="4">
        <v>372.6</v>
      </c>
      <c r="G856" s="1" t="s">
        <v>2759</v>
      </c>
      <c r="H856" s="1" t="s">
        <v>3067</v>
      </c>
      <c r="I856" s="1" t="s">
        <v>3073</v>
      </c>
      <c r="J856" s="1" t="s">
        <v>3929</v>
      </c>
      <c r="K856" s="1">
        <v>7</v>
      </c>
      <c r="L856" s="1" t="s">
        <v>4277</v>
      </c>
      <c r="M856" s="1" t="s">
        <v>4279</v>
      </c>
      <c r="N856" s="1">
        <v>1117.8</v>
      </c>
      <c r="O856" s="1">
        <f>(ordersTable[[#This Row],[Quantity]]*ordersTable[[#This Row],[UnitPrice]])-ordersTable[[#This Row],[TotalPrice]]</f>
        <v>0</v>
      </c>
    </row>
    <row r="857" spans="1:15" x14ac:dyDescent="0.3">
      <c r="A857" s="1" t="s">
        <v>869</v>
      </c>
      <c r="B857" s="2">
        <v>45071</v>
      </c>
      <c r="C857" s="3" t="s">
        <v>2065</v>
      </c>
      <c r="D857" s="1" t="s">
        <v>2403</v>
      </c>
      <c r="E857" s="5">
        <v>5</v>
      </c>
      <c r="F857" s="4">
        <v>240.61</v>
      </c>
      <c r="G857" s="1" t="s">
        <v>2624</v>
      </c>
      <c r="H857" s="1" t="s">
        <v>3067</v>
      </c>
      <c r="I857" s="1" t="s">
        <v>3070</v>
      </c>
      <c r="J857" s="1" t="s">
        <v>3930</v>
      </c>
      <c r="K857" s="1">
        <v>10</v>
      </c>
      <c r="L857" s="1" t="s">
        <v>4276</v>
      </c>
      <c r="M857" s="1" t="s">
        <v>4280</v>
      </c>
      <c r="N857" s="1">
        <v>1203.05</v>
      </c>
      <c r="O857" s="1">
        <f>(ordersTable[[#This Row],[Quantity]]*ordersTable[[#This Row],[UnitPrice]])-ordersTable[[#This Row],[TotalPrice]]</f>
        <v>0</v>
      </c>
    </row>
    <row r="858" spans="1:15" x14ac:dyDescent="0.3">
      <c r="A858" s="1" t="s">
        <v>870</v>
      </c>
      <c r="B858" s="2">
        <v>45446</v>
      </c>
      <c r="C858" s="3" t="s">
        <v>2066</v>
      </c>
      <c r="D858" s="1" t="s">
        <v>2404</v>
      </c>
      <c r="E858" s="5">
        <v>1</v>
      </c>
      <c r="F858" s="4">
        <v>586.62</v>
      </c>
      <c r="G858" s="1" t="s">
        <v>2452</v>
      </c>
      <c r="H858" s="1" t="s">
        <v>3065</v>
      </c>
      <c r="I858" s="1" t="s">
        <v>3070</v>
      </c>
      <c r="J858" s="1" t="s">
        <v>3931</v>
      </c>
      <c r="K858" s="1">
        <v>5</v>
      </c>
      <c r="M858" s="1" t="s">
        <v>4281</v>
      </c>
      <c r="N858" s="1">
        <v>586.62</v>
      </c>
      <c r="O858" s="1">
        <f>(ordersTable[[#This Row],[Quantity]]*ordersTable[[#This Row],[UnitPrice]])-ordersTable[[#This Row],[TotalPrice]]</f>
        <v>0</v>
      </c>
    </row>
    <row r="859" spans="1:15" x14ac:dyDescent="0.3">
      <c r="A859" s="1" t="s">
        <v>871</v>
      </c>
      <c r="B859" s="2">
        <v>45361</v>
      </c>
      <c r="C859" s="3" t="s">
        <v>2067</v>
      </c>
      <c r="D859" s="1" t="s">
        <v>2404</v>
      </c>
      <c r="E859" s="5">
        <v>3</v>
      </c>
      <c r="F859" s="4">
        <v>257.83999999999997</v>
      </c>
      <c r="G859" s="1" t="s">
        <v>2594</v>
      </c>
      <c r="H859" s="1" t="s">
        <v>3066</v>
      </c>
      <c r="I859" s="1" t="s">
        <v>3073</v>
      </c>
      <c r="J859" s="1" t="s">
        <v>3932</v>
      </c>
      <c r="K859" s="1">
        <v>4</v>
      </c>
      <c r="M859" s="1" t="s">
        <v>4278</v>
      </c>
      <c r="N859" s="1">
        <v>773.52</v>
      </c>
      <c r="O859" s="1">
        <f>(ordersTable[[#This Row],[Quantity]]*ordersTable[[#This Row],[UnitPrice]])-ordersTable[[#This Row],[TotalPrice]]</f>
        <v>0</v>
      </c>
    </row>
    <row r="860" spans="1:15" x14ac:dyDescent="0.3">
      <c r="A860" s="1" t="s">
        <v>872</v>
      </c>
      <c r="B860" s="2">
        <v>45158</v>
      </c>
      <c r="C860" s="3" t="s">
        <v>2068</v>
      </c>
      <c r="D860" s="1" t="s">
        <v>2405</v>
      </c>
      <c r="E860" s="5">
        <v>5</v>
      </c>
      <c r="F860" s="4">
        <v>435.66</v>
      </c>
      <c r="G860" s="1" t="s">
        <v>2428</v>
      </c>
      <c r="H860" s="1" t="s">
        <v>3066</v>
      </c>
      <c r="I860" s="1" t="s">
        <v>3074</v>
      </c>
      <c r="J860" s="1" t="s">
        <v>3933</v>
      </c>
      <c r="K860" s="1">
        <v>9</v>
      </c>
      <c r="M860" s="1" t="s">
        <v>4281</v>
      </c>
      <c r="N860" s="1">
        <v>2178.3000000000002</v>
      </c>
      <c r="O860" s="1">
        <f>(ordersTable[[#This Row],[Quantity]]*ordersTable[[#This Row],[UnitPrice]])-ordersTable[[#This Row],[TotalPrice]]</f>
        <v>0</v>
      </c>
    </row>
    <row r="861" spans="1:15" x14ac:dyDescent="0.3">
      <c r="A861" s="1" t="s">
        <v>873</v>
      </c>
      <c r="B861" s="2">
        <v>45532</v>
      </c>
      <c r="C861" s="3" t="s">
        <v>2069</v>
      </c>
      <c r="D861" s="1" t="s">
        <v>2406</v>
      </c>
      <c r="E861" s="5">
        <v>5</v>
      </c>
      <c r="F861" s="4">
        <v>261.33</v>
      </c>
      <c r="G861" s="1" t="s">
        <v>2842</v>
      </c>
      <c r="H861" s="1" t="s">
        <v>3067</v>
      </c>
      <c r="I861" s="1" t="s">
        <v>3072</v>
      </c>
      <c r="J861" s="1" t="s">
        <v>3934</v>
      </c>
      <c r="K861" s="1">
        <v>5</v>
      </c>
      <c r="L861" s="1" t="s">
        <v>4275</v>
      </c>
      <c r="M861" s="1" t="s">
        <v>4279</v>
      </c>
      <c r="N861" s="1">
        <v>1306.6500000000001</v>
      </c>
      <c r="O861" s="1">
        <f>(ordersTable[[#This Row],[Quantity]]*ordersTable[[#This Row],[UnitPrice]])-ordersTable[[#This Row],[TotalPrice]]</f>
        <v>0</v>
      </c>
    </row>
    <row r="862" spans="1:15" x14ac:dyDescent="0.3">
      <c r="A862" s="1" t="s">
        <v>874</v>
      </c>
      <c r="B862" s="2">
        <v>45314</v>
      </c>
      <c r="C862" s="3" t="s">
        <v>2070</v>
      </c>
      <c r="D862" s="1" t="s">
        <v>2407</v>
      </c>
      <c r="E862" s="5">
        <v>1</v>
      </c>
      <c r="F862" s="4">
        <v>422.54</v>
      </c>
      <c r="G862" s="1" t="s">
        <v>2699</v>
      </c>
      <c r="H862" s="1" t="s">
        <v>3069</v>
      </c>
      <c r="I862" s="1" t="s">
        <v>3073</v>
      </c>
      <c r="J862" s="1" t="s">
        <v>3935</v>
      </c>
      <c r="K862" s="1">
        <v>1</v>
      </c>
      <c r="L862" s="1" t="s">
        <v>4275</v>
      </c>
      <c r="M862" s="1" t="s">
        <v>4282</v>
      </c>
      <c r="N862" s="1">
        <v>422.54</v>
      </c>
      <c r="O862" s="1">
        <f>(ordersTable[[#This Row],[Quantity]]*ordersTable[[#This Row],[UnitPrice]])-ordersTable[[#This Row],[TotalPrice]]</f>
        <v>0</v>
      </c>
    </row>
    <row r="863" spans="1:15" x14ac:dyDescent="0.3">
      <c r="A863" s="1" t="s">
        <v>875</v>
      </c>
      <c r="B863" s="2">
        <v>45004</v>
      </c>
      <c r="C863" s="3" t="s">
        <v>2071</v>
      </c>
      <c r="D863" s="1" t="s">
        <v>2409</v>
      </c>
      <c r="E863" s="5">
        <v>5</v>
      </c>
      <c r="F863" s="4">
        <v>330.45</v>
      </c>
      <c r="G863" s="1" t="s">
        <v>2956</v>
      </c>
      <c r="H863" s="1" t="s">
        <v>3068</v>
      </c>
      <c r="I863" s="1" t="s">
        <v>3070</v>
      </c>
      <c r="J863" s="1" t="s">
        <v>3936</v>
      </c>
      <c r="K863" s="1">
        <v>10</v>
      </c>
      <c r="L863" s="1" t="s">
        <v>4276</v>
      </c>
      <c r="M863" s="1" t="s">
        <v>4282</v>
      </c>
      <c r="N863" s="1">
        <v>1652.25</v>
      </c>
      <c r="O863" s="1">
        <f>(ordersTable[[#This Row],[Quantity]]*ordersTable[[#This Row],[UnitPrice]])-ordersTable[[#This Row],[TotalPrice]]</f>
        <v>0</v>
      </c>
    </row>
    <row r="864" spans="1:15" x14ac:dyDescent="0.3">
      <c r="A864" s="1" t="s">
        <v>876</v>
      </c>
      <c r="B864" s="2">
        <v>45262</v>
      </c>
      <c r="C864" s="3" t="s">
        <v>2072</v>
      </c>
      <c r="D864" s="1" t="s">
        <v>2409</v>
      </c>
      <c r="E864" s="5">
        <v>3</v>
      </c>
      <c r="F864" s="4">
        <v>120.82</v>
      </c>
      <c r="G864" s="1" t="s">
        <v>2882</v>
      </c>
      <c r="H864" s="1" t="s">
        <v>3067</v>
      </c>
      <c r="I864" s="1" t="s">
        <v>3070</v>
      </c>
      <c r="J864" s="1" t="s">
        <v>3937</v>
      </c>
      <c r="K864" s="1">
        <v>5</v>
      </c>
      <c r="L864" s="1" t="s">
        <v>4275</v>
      </c>
      <c r="M864" s="1" t="s">
        <v>4279</v>
      </c>
      <c r="N864" s="1">
        <v>362.46</v>
      </c>
      <c r="O864" s="1">
        <f>(ordersTable[[#This Row],[Quantity]]*ordersTable[[#This Row],[UnitPrice]])-ordersTable[[#This Row],[TotalPrice]]</f>
        <v>0</v>
      </c>
    </row>
    <row r="865" spans="1:15" x14ac:dyDescent="0.3">
      <c r="A865" s="1" t="s">
        <v>877</v>
      </c>
      <c r="B865" s="2">
        <v>45432</v>
      </c>
      <c r="C865" s="3" t="s">
        <v>2073</v>
      </c>
      <c r="D865" s="1" t="s">
        <v>2404</v>
      </c>
      <c r="E865" s="5">
        <v>1</v>
      </c>
      <c r="F865" s="4">
        <v>14.06</v>
      </c>
      <c r="G865" s="1" t="s">
        <v>2625</v>
      </c>
      <c r="H865" s="1" t="s">
        <v>3067</v>
      </c>
      <c r="I865" s="1" t="s">
        <v>3074</v>
      </c>
      <c r="J865" s="1" t="s">
        <v>3938</v>
      </c>
      <c r="K865" s="1">
        <v>5</v>
      </c>
      <c r="L865" s="1" t="s">
        <v>4275</v>
      </c>
      <c r="M865" s="1" t="s">
        <v>4279</v>
      </c>
      <c r="N865" s="1">
        <v>14.06</v>
      </c>
      <c r="O865" s="1">
        <f>(ordersTable[[#This Row],[Quantity]]*ordersTable[[#This Row],[UnitPrice]])-ordersTable[[#This Row],[TotalPrice]]</f>
        <v>0</v>
      </c>
    </row>
    <row r="866" spans="1:15" x14ac:dyDescent="0.3">
      <c r="A866" s="1" t="s">
        <v>878</v>
      </c>
      <c r="B866" s="2">
        <v>45049</v>
      </c>
      <c r="C866" s="3" t="s">
        <v>2074</v>
      </c>
      <c r="D866" s="1" t="s">
        <v>2409</v>
      </c>
      <c r="E866" s="5">
        <v>1</v>
      </c>
      <c r="F866" s="4">
        <v>491.11</v>
      </c>
      <c r="G866" s="1" t="s">
        <v>2957</v>
      </c>
      <c r="H866" s="1" t="s">
        <v>3067</v>
      </c>
      <c r="I866" s="1" t="s">
        <v>3073</v>
      </c>
      <c r="J866" s="1" t="s">
        <v>3939</v>
      </c>
      <c r="K866" s="1">
        <v>4</v>
      </c>
      <c r="L866" s="1" t="s">
        <v>4275</v>
      </c>
      <c r="M866" s="1" t="s">
        <v>4281</v>
      </c>
      <c r="N866" s="1">
        <v>491.11</v>
      </c>
      <c r="O866" s="1">
        <f>(ordersTable[[#This Row],[Quantity]]*ordersTable[[#This Row],[UnitPrice]])-ordersTable[[#This Row],[TotalPrice]]</f>
        <v>0</v>
      </c>
    </row>
    <row r="867" spans="1:15" x14ac:dyDescent="0.3">
      <c r="A867" s="1" t="s">
        <v>879</v>
      </c>
      <c r="B867" s="2">
        <v>45046</v>
      </c>
      <c r="C867" s="3" t="s">
        <v>2075</v>
      </c>
      <c r="D867" s="1" t="s">
        <v>2403</v>
      </c>
      <c r="E867" s="5">
        <v>4</v>
      </c>
      <c r="F867" s="4">
        <v>677.37</v>
      </c>
      <c r="G867" s="1" t="s">
        <v>2958</v>
      </c>
      <c r="H867" s="1" t="s">
        <v>3069</v>
      </c>
      <c r="I867" s="1" t="s">
        <v>3074</v>
      </c>
      <c r="J867" s="1" t="s">
        <v>3940</v>
      </c>
      <c r="K867" s="1">
        <v>8</v>
      </c>
      <c r="L867" s="1" t="s">
        <v>4275</v>
      </c>
      <c r="M867" s="1" t="s">
        <v>4282</v>
      </c>
      <c r="N867" s="1">
        <v>2709.48</v>
      </c>
      <c r="O867" s="1">
        <f>(ordersTable[[#This Row],[Quantity]]*ordersTable[[#This Row],[UnitPrice]])-ordersTable[[#This Row],[TotalPrice]]</f>
        <v>0</v>
      </c>
    </row>
    <row r="868" spans="1:15" x14ac:dyDescent="0.3">
      <c r="A868" s="1" t="s">
        <v>880</v>
      </c>
      <c r="B868" s="2">
        <v>45499</v>
      </c>
      <c r="C868" s="3" t="s">
        <v>2076</v>
      </c>
      <c r="D868" s="1" t="s">
        <v>2409</v>
      </c>
      <c r="E868" s="5">
        <v>5</v>
      </c>
      <c r="F868" s="4">
        <v>189.25</v>
      </c>
      <c r="G868" s="1" t="s">
        <v>2959</v>
      </c>
      <c r="H868" s="1" t="s">
        <v>3065</v>
      </c>
      <c r="I868" s="1" t="s">
        <v>3071</v>
      </c>
      <c r="J868" s="1" t="s">
        <v>3941</v>
      </c>
      <c r="K868" s="1">
        <v>10</v>
      </c>
      <c r="L868" s="1" t="s">
        <v>4277</v>
      </c>
      <c r="M868" s="1" t="s">
        <v>4280</v>
      </c>
      <c r="N868" s="1">
        <v>946.25</v>
      </c>
      <c r="O868" s="1">
        <f>(ordersTable[[#This Row],[Quantity]]*ordersTable[[#This Row],[UnitPrice]])-ordersTable[[#This Row],[TotalPrice]]</f>
        <v>0</v>
      </c>
    </row>
    <row r="869" spans="1:15" x14ac:dyDescent="0.3">
      <c r="A869" s="1" t="s">
        <v>881</v>
      </c>
      <c r="B869" s="2">
        <v>45438</v>
      </c>
      <c r="C869" s="3" t="s">
        <v>2077</v>
      </c>
      <c r="D869" s="1" t="s">
        <v>2407</v>
      </c>
      <c r="E869" s="5">
        <v>4</v>
      </c>
      <c r="F869" s="4">
        <v>142.58000000000001</v>
      </c>
      <c r="G869" s="1" t="s">
        <v>2960</v>
      </c>
      <c r="H869" s="1" t="s">
        <v>3069</v>
      </c>
      <c r="I869" s="1" t="s">
        <v>3073</v>
      </c>
      <c r="J869" s="1" t="s">
        <v>3942</v>
      </c>
      <c r="K869" s="1">
        <v>4</v>
      </c>
      <c r="L869" s="1" t="s">
        <v>4276</v>
      </c>
      <c r="M869" s="1" t="s">
        <v>4281</v>
      </c>
      <c r="N869" s="1">
        <v>570.32000000000005</v>
      </c>
      <c r="O869" s="1">
        <f>(ordersTable[[#This Row],[Quantity]]*ordersTable[[#This Row],[UnitPrice]])-ordersTable[[#This Row],[TotalPrice]]</f>
        <v>0</v>
      </c>
    </row>
    <row r="870" spans="1:15" x14ac:dyDescent="0.3">
      <c r="A870" s="1" t="s">
        <v>882</v>
      </c>
      <c r="B870" s="2">
        <v>45472</v>
      </c>
      <c r="C870" s="3" t="s">
        <v>2078</v>
      </c>
      <c r="D870" s="1" t="s">
        <v>2403</v>
      </c>
      <c r="E870" s="5">
        <v>4</v>
      </c>
      <c r="F870" s="4">
        <v>316.32</v>
      </c>
      <c r="G870" s="1" t="s">
        <v>2961</v>
      </c>
      <c r="H870" s="1" t="s">
        <v>3065</v>
      </c>
      <c r="I870" s="1" t="s">
        <v>3073</v>
      </c>
      <c r="J870" s="1" t="s">
        <v>3943</v>
      </c>
      <c r="K870" s="1">
        <v>7</v>
      </c>
      <c r="M870" s="1" t="s">
        <v>4281</v>
      </c>
      <c r="N870" s="1">
        <v>1265.28</v>
      </c>
      <c r="O870" s="1">
        <f>(ordersTable[[#This Row],[Quantity]]*ordersTable[[#This Row],[UnitPrice]])-ordersTable[[#This Row],[TotalPrice]]</f>
        <v>0</v>
      </c>
    </row>
    <row r="871" spans="1:15" x14ac:dyDescent="0.3">
      <c r="A871" s="1" t="s">
        <v>883</v>
      </c>
      <c r="B871" s="2">
        <v>45368</v>
      </c>
      <c r="C871" s="3" t="s">
        <v>2079</v>
      </c>
      <c r="D871" s="1" t="s">
        <v>2409</v>
      </c>
      <c r="E871" s="5">
        <v>2</v>
      </c>
      <c r="F871" s="4">
        <v>533.95000000000005</v>
      </c>
      <c r="G871" s="1" t="s">
        <v>2566</v>
      </c>
      <c r="H871" s="1" t="s">
        <v>3066</v>
      </c>
      <c r="I871" s="1" t="s">
        <v>3073</v>
      </c>
      <c r="J871" s="1" t="s">
        <v>3944</v>
      </c>
      <c r="K871" s="1">
        <v>5</v>
      </c>
      <c r="L871" s="1" t="s">
        <v>4277</v>
      </c>
      <c r="M871" s="1" t="s">
        <v>4282</v>
      </c>
      <c r="N871" s="1">
        <v>1067.9000000000001</v>
      </c>
      <c r="O871" s="1">
        <f>(ordersTable[[#This Row],[Quantity]]*ordersTable[[#This Row],[UnitPrice]])-ordersTable[[#This Row],[TotalPrice]]</f>
        <v>0</v>
      </c>
    </row>
    <row r="872" spans="1:15" x14ac:dyDescent="0.3">
      <c r="A872" s="1" t="s">
        <v>884</v>
      </c>
      <c r="B872" s="2">
        <v>45809</v>
      </c>
      <c r="C872" s="3" t="s">
        <v>2080</v>
      </c>
      <c r="D872" s="1" t="s">
        <v>2404</v>
      </c>
      <c r="E872" s="5">
        <v>4</v>
      </c>
      <c r="F872" s="4">
        <v>470.09</v>
      </c>
      <c r="G872" s="1" t="s">
        <v>2962</v>
      </c>
      <c r="H872" s="1" t="s">
        <v>3065</v>
      </c>
      <c r="I872" s="1" t="s">
        <v>3073</v>
      </c>
      <c r="J872" s="1" t="s">
        <v>3945</v>
      </c>
      <c r="K872" s="1">
        <v>4</v>
      </c>
      <c r="L872" s="1" t="s">
        <v>4276</v>
      </c>
      <c r="M872" s="1" t="s">
        <v>4282</v>
      </c>
      <c r="N872" s="1">
        <v>1880.36</v>
      </c>
      <c r="O872" s="1">
        <f>(ordersTable[[#This Row],[Quantity]]*ordersTable[[#This Row],[UnitPrice]])-ordersTable[[#This Row],[TotalPrice]]</f>
        <v>0</v>
      </c>
    </row>
    <row r="873" spans="1:15" x14ac:dyDescent="0.3">
      <c r="A873" s="1" t="s">
        <v>885</v>
      </c>
      <c r="B873" s="2">
        <v>45428</v>
      </c>
      <c r="C873" s="3" t="s">
        <v>2081</v>
      </c>
      <c r="D873" s="1" t="s">
        <v>2405</v>
      </c>
      <c r="E873" s="5">
        <v>3</v>
      </c>
      <c r="F873" s="4">
        <v>324.3</v>
      </c>
      <c r="G873" s="1" t="s">
        <v>2963</v>
      </c>
      <c r="H873" s="1" t="s">
        <v>3065</v>
      </c>
      <c r="I873" s="1" t="s">
        <v>3074</v>
      </c>
      <c r="J873" s="1" t="s">
        <v>3946</v>
      </c>
      <c r="K873" s="1">
        <v>8</v>
      </c>
      <c r="L873" s="1" t="s">
        <v>4276</v>
      </c>
      <c r="M873" s="1" t="s">
        <v>4280</v>
      </c>
      <c r="N873" s="1">
        <v>972.90000000000009</v>
      </c>
      <c r="O873" s="1">
        <f>(ordersTable[[#This Row],[Quantity]]*ordersTable[[#This Row],[UnitPrice]])-ordersTable[[#This Row],[TotalPrice]]</f>
        <v>0</v>
      </c>
    </row>
    <row r="874" spans="1:15" x14ac:dyDescent="0.3">
      <c r="A874" s="1" t="s">
        <v>886</v>
      </c>
      <c r="B874" s="2">
        <v>45117</v>
      </c>
      <c r="C874" s="3" t="s">
        <v>2082</v>
      </c>
      <c r="D874" s="1" t="s">
        <v>2406</v>
      </c>
      <c r="E874" s="5">
        <v>4</v>
      </c>
      <c r="F874" s="4">
        <v>629.34</v>
      </c>
      <c r="G874" s="1" t="s">
        <v>2590</v>
      </c>
      <c r="H874" s="1" t="s">
        <v>3069</v>
      </c>
      <c r="I874" s="1" t="s">
        <v>3070</v>
      </c>
      <c r="J874" s="1" t="s">
        <v>3947</v>
      </c>
      <c r="K874" s="1">
        <v>7</v>
      </c>
      <c r="M874" s="1" t="s">
        <v>4280</v>
      </c>
      <c r="N874" s="1">
        <v>2517.36</v>
      </c>
      <c r="O874" s="1">
        <f>(ordersTable[[#This Row],[Quantity]]*ordersTable[[#This Row],[UnitPrice]])-ordersTable[[#This Row],[TotalPrice]]</f>
        <v>0</v>
      </c>
    </row>
    <row r="875" spans="1:15" x14ac:dyDescent="0.3">
      <c r="A875" s="1" t="s">
        <v>887</v>
      </c>
      <c r="B875" s="2">
        <v>45424</v>
      </c>
      <c r="C875" s="3" t="s">
        <v>2083</v>
      </c>
      <c r="D875" s="1" t="s">
        <v>2409</v>
      </c>
      <c r="E875" s="5">
        <v>3</v>
      </c>
      <c r="F875" s="4">
        <v>136.84</v>
      </c>
      <c r="G875" s="1" t="s">
        <v>2964</v>
      </c>
      <c r="H875" s="1" t="s">
        <v>3069</v>
      </c>
      <c r="I875" s="1" t="s">
        <v>3073</v>
      </c>
      <c r="J875" s="1" t="s">
        <v>3948</v>
      </c>
      <c r="K875" s="1">
        <v>3</v>
      </c>
      <c r="L875" s="1" t="s">
        <v>4275</v>
      </c>
      <c r="M875" s="1" t="s">
        <v>4281</v>
      </c>
      <c r="N875" s="1">
        <v>410.52</v>
      </c>
      <c r="O875" s="1">
        <f>(ordersTable[[#This Row],[Quantity]]*ordersTable[[#This Row],[UnitPrice]])-ordersTable[[#This Row],[TotalPrice]]</f>
        <v>0</v>
      </c>
    </row>
    <row r="876" spans="1:15" x14ac:dyDescent="0.3">
      <c r="A876" s="1" t="s">
        <v>888</v>
      </c>
      <c r="B876" s="2">
        <v>45230</v>
      </c>
      <c r="C876" s="3" t="s">
        <v>2084</v>
      </c>
      <c r="D876" s="1" t="s">
        <v>2406</v>
      </c>
      <c r="E876" s="5">
        <v>2</v>
      </c>
      <c r="F876" s="4">
        <v>488.9</v>
      </c>
      <c r="G876" s="1" t="s">
        <v>2886</v>
      </c>
      <c r="H876" s="1" t="s">
        <v>3069</v>
      </c>
      <c r="I876" s="1" t="s">
        <v>3073</v>
      </c>
      <c r="J876" s="1" t="s">
        <v>3949</v>
      </c>
      <c r="K876" s="1">
        <v>7</v>
      </c>
      <c r="L876" s="1" t="s">
        <v>4276</v>
      </c>
      <c r="M876" s="1" t="s">
        <v>4281</v>
      </c>
      <c r="N876" s="1">
        <v>977.8</v>
      </c>
      <c r="O876" s="1">
        <f>(ordersTable[[#This Row],[Quantity]]*ordersTable[[#This Row],[UnitPrice]])-ordersTable[[#This Row],[TotalPrice]]</f>
        <v>0</v>
      </c>
    </row>
    <row r="877" spans="1:15" x14ac:dyDescent="0.3">
      <c r="A877" s="1" t="s">
        <v>889</v>
      </c>
      <c r="B877" s="2">
        <v>45141</v>
      </c>
      <c r="C877" s="3" t="s">
        <v>2085</v>
      </c>
      <c r="D877" s="1" t="s">
        <v>2408</v>
      </c>
      <c r="E877" s="5">
        <v>5</v>
      </c>
      <c r="F877" s="4">
        <v>133.38999999999999</v>
      </c>
      <c r="G877" s="1" t="s">
        <v>2496</v>
      </c>
      <c r="H877" s="1" t="s">
        <v>3067</v>
      </c>
      <c r="I877" s="1" t="s">
        <v>3073</v>
      </c>
      <c r="J877" s="1" t="s">
        <v>3950</v>
      </c>
      <c r="K877" s="1">
        <v>6</v>
      </c>
      <c r="L877" s="1" t="s">
        <v>4276</v>
      </c>
      <c r="M877" s="1" t="s">
        <v>4279</v>
      </c>
      <c r="N877" s="1">
        <v>666.94999999999993</v>
      </c>
      <c r="O877" s="1">
        <f>(ordersTable[[#This Row],[Quantity]]*ordersTable[[#This Row],[UnitPrice]])-ordersTable[[#This Row],[TotalPrice]]</f>
        <v>0</v>
      </c>
    </row>
    <row r="878" spans="1:15" x14ac:dyDescent="0.3">
      <c r="A878" s="1" t="s">
        <v>890</v>
      </c>
      <c r="B878" s="2">
        <v>45452</v>
      </c>
      <c r="C878" s="3" t="s">
        <v>2086</v>
      </c>
      <c r="D878" s="1" t="s">
        <v>2406</v>
      </c>
      <c r="E878" s="5">
        <v>5</v>
      </c>
      <c r="F878" s="4">
        <v>608.91</v>
      </c>
      <c r="G878" s="1" t="s">
        <v>2900</v>
      </c>
      <c r="H878" s="1" t="s">
        <v>3068</v>
      </c>
      <c r="I878" s="1" t="s">
        <v>3074</v>
      </c>
      <c r="J878" s="1" t="s">
        <v>3951</v>
      </c>
      <c r="K878" s="1">
        <v>6</v>
      </c>
      <c r="L878" s="1" t="s">
        <v>4275</v>
      </c>
      <c r="M878" s="1" t="s">
        <v>4282</v>
      </c>
      <c r="N878" s="1">
        <v>3044.55</v>
      </c>
      <c r="O878" s="1">
        <f>(ordersTable[[#This Row],[Quantity]]*ordersTable[[#This Row],[UnitPrice]])-ordersTable[[#This Row],[TotalPrice]]</f>
        <v>0</v>
      </c>
    </row>
    <row r="879" spans="1:15" x14ac:dyDescent="0.3">
      <c r="A879" s="1" t="s">
        <v>891</v>
      </c>
      <c r="B879" s="2">
        <v>45498</v>
      </c>
      <c r="C879" s="3" t="s">
        <v>2087</v>
      </c>
      <c r="D879" s="1" t="s">
        <v>2405</v>
      </c>
      <c r="E879" s="5">
        <v>1</v>
      </c>
      <c r="F879" s="4">
        <v>524.05999999999995</v>
      </c>
      <c r="G879" s="1" t="s">
        <v>2847</v>
      </c>
      <c r="H879" s="1" t="s">
        <v>3065</v>
      </c>
      <c r="I879" s="1" t="s">
        <v>3074</v>
      </c>
      <c r="J879" s="1" t="s">
        <v>3952</v>
      </c>
      <c r="K879" s="1">
        <v>3</v>
      </c>
      <c r="L879" s="1" t="s">
        <v>4276</v>
      </c>
      <c r="M879" s="1" t="s">
        <v>4280</v>
      </c>
      <c r="N879" s="1">
        <v>524.05999999999995</v>
      </c>
      <c r="O879" s="1">
        <f>(ordersTable[[#This Row],[Quantity]]*ordersTable[[#This Row],[UnitPrice]])-ordersTable[[#This Row],[TotalPrice]]</f>
        <v>0</v>
      </c>
    </row>
    <row r="880" spans="1:15" x14ac:dyDescent="0.3">
      <c r="A880" s="1" t="s">
        <v>892</v>
      </c>
      <c r="B880" s="2">
        <v>45078</v>
      </c>
      <c r="C880" s="3" t="s">
        <v>2088</v>
      </c>
      <c r="D880" s="1" t="s">
        <v>2409</v>
      </c>
      <c r="E880" s="5">
        <v>2</v>
      </c>
      <c r="F880" s="4">
        <v>330.69</v>
      </c>
      <c r="G880" s="1" t="s">
        <v>2965</v>
      </c>
      <c r="H880" s="1" t="s">
        <v>3066</v>
      </c>
      <c r="I880" s="1" t="s">
        <v>3071</v>
      </c>
      <c r="J880" s="1" t="s">
        <v>3953</v>
      </c>
      <c r="K880" s="1">
        <v>5</v>
      </c>
      <c r="L880" s="1" t="s">
        <v>4275</v>
      </c>
      <c r="M880" s="1" t="s">
        <v>4282</v>
      </c>
      <c r="N880" s="1">
        <v>661.38</v>
      </c>
      <c r="O880" s="1">
        <f>(ordersTable[[#This Row],[Quantity]]*ordersTable[[#This Row],[UnitPrice]])-ordersTable[[#This Row],[TotalPrice]]</f>
        <v>0</v>
      </c>
    </row>
    <row r="881" spans="1:15" x14ac:dyDescent="0.3">
      <c r="A881" s="1" t="s">
        <v>893</v>
      </c>
      <c r="B881" s="2">
        <v>45755</v>
      </c>
      <c r="C881" s="3" t="s">
        <v>2089</v>
      </c>
      <c r="D881" s="1" t="s">
        <v>2404</v>
      </c>
      <c r="E881" s="5">
        <v>2</v>
      </c>
      <c r="F881" s="4">
        <v>547.66999999999996</v>
      </c>
      <c r="G881" s="1" t="s">
        <v>2817</v>
      </c>
      <c r="H881" s="1" t="s">
        <v>3068</v>
      </c>
      <c r="I881" s="1" t="s">
        <v>3070</v>
      </c>
      <c r="J881" s="1" t="s">
        <v>3954</v>
      </c>
      <c r="K881" s="1">
        <v>3</v>
      </c>
      <c r="M881" s="1" t="s">
        <v>4278</v>
      </c>
      <c r="N881" s="1">
        <v>1095.3399999999999</v>
      </c>
      <c r="O881" s="1">
        <f>(ordersTable[[#This Row],[Quantity]]*ordersTable[[#This Row],[UnitPrice]])-ordersTable[[#This Row],[TotalPrice]]</f>
        <v>0</v>
      </c>
    </row>
    <row r="882" spans="1:15" x14ac:dyDescent="0.3">
      <c r="A882" s="1" t="s">
        <v>894</v>
      </c>
      <c r="B882" s="2">
        <v>45728</v>
      </c>
      <c r="C882" s="3" t="s">
        <v>2090</v>
      </c>
      <c r="D882" s="1" t="s">
        <v>2408</v>
      </c>
      <c r="E882" s="5">
        <v>4</v>
      </c>
      <c r="F882" s="4">
        <v>233.7</v>
      </c>
      <c r="G882" s="1" t="s">
        <v>2620</v>
      </c>
      <c r="H882" s="1" t="s">
        <v>3066</v>
      </c>
      <c r="I882" s="1" t="s">
        <v>3070</v>
      </c>
      <c r="J882" s="1" t="s">
        <v>3955</v>
      </c>
      <c r="K882" s="1">
        <v>8</v>
      </c>
      <c r="L882" s="1" t="s">
        <v>4275</v>
      </c>
      <c r="M882" s="1" t="s">
        <v>4281</v>
      </c>
      <c r="N882" s="1">
        <v>934.8</v>
      </c>
      <c r="O882" s="1">
        <f>(ordersTable[[#This Row],[Quantity]]*ordersTable[[#This Row],[UnitPrice]])-ordersTable[[#This Row],[TotalPrice]]</f>
        <v>0</v>
      </c>
    </row>
    <row r="883" spans="1:15" x14ac:dyDescent="0.3">
      <c r="A883" s="1" t="s">
        <v>895</v>
      </c>
      <c r="B883" s="2">
        <v>44929</v>
      </c>
      <c r="C883" s="3" t="s">
        <v>2091</v>
      </c>
      <c r="D883" s="1" t="s">
        <v>2405</v>
      </c>
      <c r="E883" s="5">
        <v>2</v>
      </c>
      <c r="F883" s="4">
        <v>448.85</v>
      </c>
      <c r="G883" s="1" t="s">
        <v>2966</v>
      </c>
      <c r="H883" s="1" t="s">
        <v>3067</v>
      </c>
      <c r="I883" s="1" t="s">
        <v>3074</v>
      </c>
      <c r="J883" s="1" t="s">
        <v>3956</v>
      </c>
      <c r="K883" s="1">
        <v>6</v>
      </c>
      <c r="M883" s="1" t="s">
        <v>4278</v>
      </c>
      <c r="N883" s="1">
        <v>897.7</v>
      </c>
      <c r="O883" s="1">
        <f>(ordersTable[[#This Row],[Quantity]]*ordersTable[[#This Row],[UnitPrice]])-ordersTable[[#This Row],[TotalPrice]]</f>
        <v>0</v>
      </c>
    </row>
    <row r="884" spans="1:15" x14ac:dyDescent="0.3">
      <c r="A884" s="1" t="s">
        <v>896</v>
      </c>
      <c r="B884" s="2">
        <v>45836</v>
      </c>
      <c r="C884" s="3" t="s">
        <v>2092</v>
      </c>
      <c r="D884" s="1" t="s">
        <v>2404</v>
      </c>
      <c r="E884" s="5">
        <v>2</v>
      </c>
      <c r="F884" s="4">
        <v>274.12</v>
      </c>
      <c r="G884" s="1" t="s">
        <v>2501</v>
      </c>
      <c r="H884" s="1" t="s">
        <v>3069</v>
      </c>
      <c r="I884" s="1" t="s">
        <v>3073</v>
      </c>
      <c r="J884" s="1" t="s">
        <v>3957</v>
      </c>
      <c r="K884" s="1">
        <v>6</v>
      </c>
      <c r="L884" s="1" t="s">
        <v>4276</v>
      </c>
      <c r="M884" s="1" t="s">
        <v>4279</v>
      </c>
      <c r="N884" s="1">
        <v>548.24</v>
      </c>
      <c r="O884" s="1">
        <f>(ordersTable[[#This Row],[Quantity]]*ordersTable[[#This Row],[UnitPrice]])-ordersTable[[#This Row],[TotalPrice]]</f>
        <v>0</v>
      </c>
    </row>
    <row r="885" spans="1:15" x14ac:dyDescent="0.3">
      <c r="A885" s="1" t="s">
        <v>897</v>
      </c>
      <c r="B885" s="2">
        <v>45790</v>
      </c>
      <c r="C885" s="3" t="s">
        <v>2093</v>
      </c>
      <c r="D885" s="1" t="s">
        <v>2407</v>
      </c>
      <c r="E885" s="5">
        <v>5</v>
      </c>
      <c r="F885" s="4">
        <v>561.48</v>
      </c>
      <c r="G885" s="1" t="s">
        <v>2967</v>
      </c>
      <c r="H885" s="1" t="s">
        <v>3066</v>
      </c>
      <c r="I885" s="1" t="s">
        <v>3073</v>
      </c>
      <c r="J885" s="1" t="s">
        <v>3958</v>
      </c>
      <c r="K885" s="1">
        <v>9</v>
      </c>
      <c r="L885" s="1" t="s">
        <v>4276</v>
      </c>
      <c r="M885" s="1" t="s">
        <v>4281</v>
      </c>
      <c r="N885" s="1">
        <v>2807.4</v>
      </c>
      <c r="O885" s="1">
        <f>(ordersTable[[#This Row],[Quantity]]*ordersTable[[#This Row],[UnitPrice]])-ordersTable[[#This Row],[TotalPrice]]</f>
        <v>0</v>
      </c>
    </row>
    <row r="886" spans="1:15" x14ac:dyDescent="0.3">
      <c r="A886" s="1" t="s">
        <v>898</v>
      </c>
      <c r="B886" s="2">
        <v>45427</v>
      </c>
      <c r="C886" s="3" t="s">
        <v>2094</v>
      </c>
      <c r="D886" s="1" t="s">
        <v>2406</v>
      </c>
      <c r="E886" s="5">
        <v>1</v>
      </c>
      <c r="F886" s="4">
        <v>595.54</v>
      </c>
      <c r="G886" s="1" t="s">
        <v>2968</v>
      </c>
      <c r="H886" s="1" t="s">
        <v>3068</v>
      </c>
      <c r="I886" s="1" t="s">
        <v>3070</v>
      </c>
      <c r="J886" s="1" t="s">
        <v>3959</v>
      </c>
      <c r="K886" s="1">
        <v>4</v>
      </c>
      <c r="M886" s="1" t="s">
        <v>4278</v>
      </c>
      <c r="N886" s="1">
        <v>595.54</v>
      </c>
      <c r="O886" s="1">
        <f>(ordersTable[[#This Row],[Quantity]]*ordersTable[[#This Row],[UnitPrice]])-ordersTable[[#This Row],[TotalPrice]]</f>
        <v>0</v>
      </c>
    </row>
    <row r="887" spans="1:15" x14ac:dyDescent="0.3">
      <c r="A887" s="1" t="s">
        <v>899</v>
      </c>
      <c r="B887" s="2">
        <v>45389</v>
      </c>
      <c r="C887" s="3" t="s">
        <v>2095</v>
      </c>
      <c r="D887" s="1" t="s">
        <v>2408</v>
      </c>
      <c r="E887" s="5">
        <v>4</v>
      </c>
      <c r="F887" s="4">
        <v>515.59</v>
      </c>
      <c r="G887" s="1" t="s">
        <v>2969</v>
      </c>
      <c r="H887" s="1" t="s">
        <v>3067</v>
      </c>
      <c r="I887" s="1" t="s">
        <v>3070</v>
      </c>
      <c r="J887" s="1" t="s">
        <v>3960</v>
      </c>
      <c r="K887" s="1">
        <v>7</v>
      </c>
      <c r="L887" s="1" t="s">
        <v>4276</v>
      </c>
      <c r="M887" s="1" t="s">
        <v>4282</v>
      </c>
      <c r="N887" s="1">
        <v>2062.36</v>
      </c>
      <c r="O887" s="1">
        <f>(ordersTable[[#This Row],[Quantity]]*ordersTable[[#This Row],[UnitPrice]])-ordersTable[[#This Row],[TotalPrice]]</f>
        <v>0</v>
      </c>
    </row>
    <row r="888" spans="1:15" x14ac:dyDescent="0.3">
      <c r="A888" s="1" t="s">
        <v>900</v>
      </c>
      <c r="B888" s="2">
        <v>45224</v>
      </c>
      <c r="C888" s="3" t="s">
        <v>2096</v>
      </c>
      <c r="D888" s="1" t="s">
        <v>2404</v>
      </c>
      <c r="E888" s="5">
        <v>1</v>
      </c>
      <c r="F888" s="4">
        <v>460.13</v>
      </c>
      <c r="G888" s="1" t="s">
        <v>2970</v>
      </c>
      <c r="H888" s="1" t="s">
        <v>3067</v>
      </c>
      <c r="I888" s="1" t="s">
        <v>3072</v>
      </c>
      <c r="J888" s="1" t="s">
        <v>3961</v>
      </c>
      <c r="K888" s="1">
        <v>1</v>
      </c>
      <c r="M888" s="1" t="s">
        <v>4282</v>
      </c>
      <c r="N888" s="1">
        <v>460.13</v>
      </c>
      <c r="O888" s="1">
        <f>(ordersTable[[#This Row],[Quantity]]*ordersTable[[#This Row],[UnitPrice]])-ordersTable[[#This Row],[TotalPrice]]</f>
        <v>0</v>
      </c>
    </row>
    <row r="889" spans="1:15" x14ac:dyDescent="0.3">
      <c r="A889" s="1" t="s">
        <v>901</v>
      </c>
      <c r="B889" s="2">
        <v>45645</v>
      </c>
      <c r="C889" s="3" t="s">
        <v>2097</v>
      </c>
      <c r="D889" s="1" t="s">
        <v>2406</v>
      </c>
      <c r="E889" s="5">
        <v>3</v>
      </c>
      <c r="F889" s="4">
        <v>171.66</v>
      </c>
      <c r="G889" s="1" t="s">
        <v>2971</v>
      </c>
      <c r="H889" s="1" t="s">
        <v>3065</v>
      </c>
      <c r="I889" s="1" t="s">
        <v>3073</v>
      </c>
      <c r="J889" s="1" t="s">
        <v>3962</v>
      </c>
      <c r="K889" s="1">
        <v>7</v>
      </c>
      <c r="M889" s="1" t="s">
        <v>4282</v>
      </c>
      <c r="N889" s="1">
        <v>514.98</v>
      </c>
      <c r="O889" s="1">
        <f>(ordersTable[[#This Row],[Quantity]]*ordersTable[[#This Row],[UnitPrice]])-ordersTable[[#This Row],[TotalPrice]]</f>
        <v>0</v>
      </c>
    </row>
    <row r="890" spans="1:15" x14ac:dyDescent="0.3">
      <c r="A890" s="1" t="s">
        <v>902</v>
      </c>
      <c r="B890" s="2">
        <v>45496</v>
      </c>
      <c r="C890" s="3" t="s">
        <v>2098</v>
      </c>
      <c r="D890" s="1" t="s">
        <v>2408</v>
      </c>
      <c r="E890" s="5">
        <v>2</v>
      </c>
      <c r="F890" s="4">
        <v>266.95</v>
      </c>
      <c r="G890" s="1" t="s">
        <v>2972</v>
      </c>
      <c r="H890" s="1" t="s">
        <v>3067</v>
      </c>
      <c r="I890" s="1" t="s">
        <v>3074</v>
      </c>
      <c r="J890" s="1" t="s">
        <v>3963</v>
      </c>
      <c r="K890" s="1">
        <v>3</v>
      </c>
      <c r="M890" s="1" t="s">
        <v>4278</v>
      </c>
      <c r="N890" s="1">
        <v>533.9</v>
      </c>
      <c r="O890" s="1">
        <f>(ordersTable[[#This Row],[Quantity]]*ordersTable[[#This Row],[UnitPrice]])-ordersTable[[#This Row],[TotalPrice]]</f>
        <v>0</v>
      </c>
    </row>
    <row r="891" spans="1:15" x14ac:dyDescent="0.3">
      <c r="A891" s="1" t="s">
        <v>903</v>
      </c>
      <c r="B891" s="2">
        <v>45592</v>
      </c>
      <c r="C891" s="3" t="s">
        <v>2099</v>
      </c>
      <c r="D891" s="1" t="s">
        <v>2403</v>
      </c>
      <c r="E891" s="5">
        <v>5</v>
      </c>
      <c r="F891" s="4">
        <v>650.72</v>
      </c>
      <c r="G891" s="1" t="s">
        <v>2973</v>
      </c>
      <c r="H891" s="1" t="s">
        <v>3067</v>
      </c>
      <c r="I891" s="1" t="s">
        <v>3071</v>
      </c>
      <c r="J891" s="1" t="s">
        <v>3964</v>
      </c>
      <c r="K891" s="1">
        <v>8</v>
      </c>
      <c r="L891" s="1" t="s">
        <v>4277</v>
      </c>
      <c r="M891" s="1" t="s">
        <v>4280</v>
      </c>
      <c r="N891" s="1">
        <v>3253.6</v>
      </c>
      <c r="O891" s="1">
        <f>(ordersTable[[#This Row],[Quantity]]*ordersTable[[#This Row],[UnitPrice]])-ordersTable[[#This Row],[TotalPrice]]</f>
        <v>0</v>
      </c>
    </row>
    <row r="892" spans="1:15" x14ac:dyDescent="0.3">
      <c r="A892" s="1" t="s">
        <v>904</v>
      </c>
      <c r="B892" s="2">
        <v>45149</v>
      </c>
      <c r="C892" s="3" t="s">
        <v>2100</v>
      </c>
      <c r="D892" s="1" t="s">
        <v>2408</v>
      </c>
      <c r="E892" s="5">
        <v>3</v>
      </c>
      <c r="F892" s="4">
        <v>439.53</v>
      </c>
      <c r="G892" s="1" t="s">
        <v>2781</v>
      </c>
      <c r="H892" s="1" t="s">
        <v>3065</v>
      </c>
      <c r="I892" s="1" t="s">
        <v>3074</v>
      </c>
      <c r="J892" s="1" t="s">
        <v>3965</v>
      </c>
      <c r="K892" s="1">
        <v>5</v>
      </c>
      <c r="M892" s="1" t="s">
        <v>4282</v>
      </c>
      <c r="N892" s="1">
        <v>1318.59</v>
      </c>
      <c r="O892" s="1">
        <f>(ordersTable[[#This Row],[Quantity]]*ordersTable[[#This Row],[UnitPrice]])-ordersTable[[#This Row],[TotalPrice]]</f>
        <v>0</v>
      </c>
    </row>
    <row r="893" spans="1:15" x14ac:dyDescent="0.3">
      <c r="A893" s="1" t="s">
        <v>905</v>
      </c>
      <c r="B893" s="2">
        <v>45241</v>
      </c>
      <c r="C893" s="3" t="s">
        <v>2101</v>
      </c>
      <c r="D893" s="1" t="s">
        <v>2403</v>
      </c>
      <c r="E893" s="5">
        <v>3</v>
      </c>
      <c r="F893" s="4">
        <v>654.54</v>
      </c>
      <c r="G893" s="1" t="s">
        <v>2974</v>
      </c>
      <c r="H893" s="1" t="s">
        <v>3069</v>
      </c>
      <c r="I893" s="1" t="s">
        <v>3072</v>
      </c>
      <c r="J893" s="1" t="s">
        <v>3966</v>
      </c>
      <c r="K893" s="1">
        <v>7</v>
      </c>
      <c r="L893" s="1" t="s">
        <v>4275</v>
      </c>
      <c r="M893" s="1" t="s">
        <v>4279</v>
      </c>
      <c r="N893" s="1">
        <v>1963.62</v>
      </c>
      <c r="O893" s="1">
        <f>(ordersTable[[#This Row],[Quantity]]*ordersTable[[#This Row],[UnitPrice]])-ordersTable[[#This Row],[TotalPrice]]</f>
        <v>0</v>
      </c>
    </row>
    <row r="894" spans="1:15" x14ac:dyDescent="0.3">
      <c r="A894" s="1" t="s">
        <v>906</v>
      </c>
      <c r="B894" s="2">
        <v>45447</v>
      </c>
      <c r="C894" s="3" t="s">
        <v>2102</v>
      </c>
      <c r="D894" s="1" t="s">
        <v>2409</v>
      </c>
      <c r="E894" s="5">
        <v>1</v>
      </c>
      <c r="F894" s="4">
        <v>394.53</v>
      </c>
      <c r="G894" s="1" t="s">
        <v>2975</v>
      </c>
      <c r="H894" s="1" t="s">
        <v>3069</v>
      </c>
      <c r="I894" s="1" t="s">
        <v>3070</v>
      </c>
      <c r="J894" s="1" t="s">
        <v>3967</v>
      </c>
      <c r="K894" s="1">
        <v>2</v>
      </c>
      <c r="L894" s="1" t="s">
        <v>4276</v>
      </c>
      <c r="M894" s="1" t="s">
        <v>4279</v>
      </c>
      <c r="N894" s="1">
        <v>394.53</v>
      </c>
      <c r="O894" s="1">
        <f>(ordersTable[[#This Row],[Quantity]]*ordersTable[[#This Row],[UnitPrice]])-ordersTable[[#This Row],[TotalPrice]]</f>
        <v>0</v>
      </c>
    </row>
    <row r="895" spans="1:15" x14ac:dyDescent="0.3">
      <c r="A895" s="1" t="s">
        <v>907</v>
      </c>
      <c r="B895" s="2">
        <v>45006</v>
      </c>
      <c r="C895" s="3" t="s">
        <v>2103</v>
      </c>
      <c r="D895" s="1" t="s">
        <v>2403</v>
      </c>
      <c r="E895" s="5">
        <v>1</v>
      </c>
      <c r="F895" s="4">
        <v>678.01</v>
      </c>
      <c r="G895" s="1" t="s">
        <v>2796</v>
      </c>
      <c r="H895" s="1" t="s">
        <v>3069</v>
      </c>
      <c r="I895" s="1" t="s">
        <v>3074</v>
      </c>
      <c r="J895" s="1" t="s">
        <v>3968</v>
      </c>
      <c r="K895" s="1">
        <v>4</v>
      </c>
      <c r="L895" s="1" t="s">
        <v>4276</v>
      </c>
      <c r="M895" s="1" t="s">
        <v>4279</v>
      </c>
      <c r="N895" s="1">
        <v>678.01</v>
      </c>
      <c r="O895" s="1">
        <f>(ordersTable[[#This Row],[Quantity]]*ordersTable[[#This Row],[UnitPrice]])-ordersTable[[#This Row],[TotalPrice]]</f>
        <v>0</v>
      </c>
    </row>
    <row r="896" spans="1:15" x14ac:dyDescent="0.3">
      <c r="A896" s="1" t="s">
        <v>908</v>
      </c>
      <c r="B896" s="2">
        <v>45069</v>
      </c>
      <c r="C896" s="3" t="s">
        <v>2104</v>
      </c>
      <c r="D896" s="1" t="s">
        <v>2405</v>
      </c>
      <c r="E896" s="5">
        <v>3</v>
      </c>
      <c r="F896" s="4">
        <v>575.01</v>
      </c>
      <c r="G896" s="1" t="s">
        <v>2811</v>
      </c>
      <c r="H896" s="1" t="s">
        <v>3066</v>
      </c>
      <c r="I896" s="1" t="s">
        <v>3071</v>
      </c>
      <c r="J896" s="1" t="s">
        <v>3969</v>
      </c>
      <c r="K896" s="1">
        <v>8</v>
      </c>
      <c r="L896" s="1" t="s">
        <v>4277</v>
      </c>
      <c r="M896" s="1" t="s">
        <v>4278</v>
      </c>
      <c r="N896" s="1">
        <v>1725.03</v>
      </c>
      <c r="O896" s="1">
        <f>(ordersTable[[#This Row],[Quantity]]*ordersTable[[#This Row],[UnitPrice]])-ordersTable[[#This Row],[TotalPrice]]</f>
        <v>0</v>
      </c>
    </row>
    <row r="897" spans="1:15" x14ac:dyDescent="0.3">
      <c r="A897" s="1" t="s">
        <v>909</v>
      </c>
      <c r="B897" s="2">
        <v>45239</v>
      </c>
      <c r="C897" s="3" t="s">
        <v>2105</v>
      </c>
      <c r="D897" s="1" t="s">
        <v>2406</v>
      </c>
      <c r="E897" s="5">
        <v>3</v>
      </c>
      <c r="F897" s="4">
        <v>154.63999999999999</v>
      </c>
      <c r="G897" s="1" t="s">
        <v>2976</v>
      </c>
      <c r="H897" s="1" t="s">
        <v>3065</v>
      </c>
      <c r="I897" s="1" t="s">
        <v>3074</v>
      </c>
      <c r="J897" s="1" t="s">
        <v>3970</v>
      </c>
      <c r="K897" s="1">
        <v>6</v>
      </c>
      <c r="L897" s="1" t="s">
        <v>4277</v>
      </c>
      <c r="M897" s="1" t="s">
        <v>4281</v>
      </c>
      <c r="N897" s="1">
        <v>463.92</v>
      </c>
      <c r="O897" s="1">
        <f>(ordersTable[[#This Row],[Quantity]]*ordersTable[[#This Row],[UnitPrice]])-ordersTable[[#This Row],[TotalPrice]]</f>
        <v>0</v>
      </c>
    </row>
    <row r="898" spans="1:15" x14ac:dyDescent="0.3">
      <c r="A898" s="1" t="s">
        <v>910</v>
      </c>
      <c r="B898" s="2">
        <v>45583</v>
      </c>
      <c r="C898" s="3" t="s">
        <v>2106</v>
      </c>
      <c r="D898" s="1" t="s">
        <v>2409</v>
      </c>
      <c r="E898" s="5">
        <v>3</v>
      </c>
      <c r="F898" s="4">
        <v>147.29</v>
      </c>
      <c r="G898" s="1" t="s">
        <v>2419</v>
      </c>
      <c r="H898" s="1" t="s">
        <v>3068</v>
      </c>
      <c r="I898" s="1" t="s">
        <v>3070</v>
      </c>
      <c r="J898" s="1" t="s">
        <v>3971</v>
      </c>
      <c r="K898" s="1">
        <v>3</v>
      </c>
      <c r="L898" s="1" t="s">
        <v>4276</v>
      </c>
      <c r="M898" s="1" t="s">
        <v>4282</v>
      </c>
      <c r="N898" s="1">
        <v>441.87</v>
      </c>
      <c r="O898" s="1">
        <f>(ordersTable[[#This Row],[Quantity]]*ordersTable[[#This Row],[UnitPrice]])-ordersTable[[#This Row],[TotalPrice]]</f>
        <v>0</v>
      </c>
    </row>
    <row r="899" spans="1:15" x14ac:dyDescent="0.3">
      <c r="A899" s="1" t="s">
        <v>911</v>
      </c>
      <c r="B899" s="2">
        <v>45538</v>
      </c>
      <c r="C899" s="3" t="s">
        <v>2107</v>
      </c>
      <c r="D899" s="1" t="s">
        <v>2408</v>
      </c>
      <c r="E899" s="5">
        <v>4</v>
      </c>
      <c r="F899" s="4">
        <v>481.48</v>
      </c>
      <c r="G899" s="1" t="s">
        <v>2589</v>
      </c>
      <c r="H899" s="1" t="s">
        <v>3068</v>
      </c>
      <c r="I899" s="1" t="s">
        <v>3073</v>
      </c>
      <c r="J899" s="1" t="s">
        <v>3972</v>
      </c>
      <c r="K899" s="1">
        <v>5</v>
      </c>
      <c r="L899" s="1" t="s">
        <v>4275</v>
      </c>
      <c r="M899" s="1" t="s">
        <v>4278</v>
      </c>
      <c r="N899" s="1">
        <v>1925.92</v>
      </c>
      <c r="O899" s="1">
        <f>(ordersTable[[#This Row],[Quantity]]*ordersTable[[#This Row],[UnitPrice]])-ordersTable[[#This Row],[TotalPrice]]</f>
        <v>0</v>
      </c>
    </row>
    <row r="900" spans="1:15" x14ac:dyDescent="0.3">
      <c r="A900" s="1" t="s">
        <v>912</v>
      </c>
      <c r="B900" s="2">
        <v>45721</v>
      </c>
      <c r="C900" s="3" t="s">
        <v>2108</v>
      </c>
      <c r="D900" s="1" t="s">
        <v>2403</v>
      </c>
      <c r="E900" s="5">
        <v>3</v>
      </c>
      <c r="F900" s="4">
        <v>158.37</v>
      </c>
      <c r="G900" s="1" t="s">
        <v>2950</v>
      </c>
      <c r="H900" s="1" t="s">
        <v>3069</v>
      </c>
      <c r="I900" s="1" t="s">
        <v>3070</v>
      </c>
      <c r="J900" s="1" t="s">
        <v>3973</v>
      </c>
      <c r="K900" s="1">
        <v>6</v>
      </c>
      <c r="M900" s="1" t="s">
        <v>4279</v>
      </c>
      <c r="N900" s="1">
        <v>475.11</v>
      </c>
      <c r="O900" s="1">
        <f>(ordersTable[[#This Row],[Quantity]]*ordersTable[[#This Row],[UnitPrice]])-ordersTable[[#This Row],[TotalPrice]]</f>
        <v>0</v>
      </c>
    </row>
    <row r="901" spans="1:15" x14ac:dyDescent="0.3">
      <c r="A901" s="1" t="s">
        <v>913</v>
      </c>
      <c r="B901" s="2">
        <v>45770</v>
      </c>
      <c r="C901" s="3" t="s">
        <v>2109</v>
      </c>
      <c r="D901" s="1" t="s">
        <v>2407</v>
      </c>
      <c r="E901" s="5">
        <v>2</v>
      </c>
      <c r="F901" s="4">
        <v>323.37</v>
      </c>
      <c r="G901" s="1" t="s">
        <v>2474</v>
      </c>
      <c r="H901" s="1" t="s">
        <v>3066</v>
      </c>
      <c r="I901" s="1" t="s">
        <v>3074</v>
      </c>
      <c r="J901" s="1" t="s">
        <v>3974</v>
      </c>
      <c r="K901" s="1">
        <v>3</v>
      </c>
      <c r="L901" s="1" t="s">
        <v>4275</v>
      </c>
      <c r="M901" s="1" t="s">
        <v>4278</v>
      </c>
      <c r="N901" s="1">
        <v>646.74</v>
      </c>
      <c r="O901" s="1">
        <f>(ordersTable[[#This Row],[Quantity]]*ordersTable[[#This Row],[UnitPrice]])-ordersTable[[#This Row],[TotalPrice]]</f>
        <v>0</v>
      </c>
    </row>
    <row r="902" spans="1:15" x14ac:dyDescent="0.3">
      <c r="A902" s="1" t="s">
        <v>914</v>
      </c>
      <c r="B902" s="2">
        <v>45695</v>
      </c>
      <c r="C902" s="3" t="s">
        <v>2110</v>
      </c>
      <c r="D902" s="1" t="s">
        <v>2408</v>
      </c>
      <c r="E902" s="5">
        <v>5</v>
      </c>
      <c r="F902" s="4">
        <v>73.83</v>
      </c>
      <c r="G902" s="1" t="s">
        <v>2802</v>
      </c>
      <c r="H902" s="1" t="s">
        <v>3065</v>
      </c>
      <c r="I902" s="1" t="s">
        <v>3074</v>
      </c>
      <c r="J902" s="1" t="s">
        <v>3975</v>
      </c>
      <c r="K902" s="1">
        <v>9</v>
      </c>
      <c r="M902" s="1" t="s">
        <v>4278</v>
      </c>
      <c r="N902" s="1">
        <v>369.15</v>
      </c>
      <c r="O902" s="1">
        <f>(ordersTable[[#This Row],[Quantity]]*ordersTable[[#This Row],[UnitPrice]])-ordersTable[[#This Row],[TotalPrice]]</f>
        <v>0</v>
      </c>
    </row>
    <row r="903" spans="1:15" x14ac:dyDescent="0.3">
      <c r="A903" s="1" t="s">
        <v>915</v>
      </c>
      <c r="B903" s="2">
        <v>45410</v>
      </c>
      <c r="C903" s="3" t="s">
        <v>2111</v>
      </c>
      <c r="D903" s="1" t="s">
        <v>2405</v>
      </c>
      <c r="E903" s="5">
        <v>1</v>
      </c>
      <c r="F903" s="4">
        <v>458.63</v>
      </c>
      <c r="G903" s="1" t="s">
        <v>2499</v>
      </c>
      <c r="H903" s="1" t="s">
        <v>3065</v>
      </c>
      <c r="I903" s="1" t="s">
        <v>3072</v>
      </c>
      <c r="J903" s="1" t="s">
        <v>3976</v>
      </c>
      <c r="K903" s="1">
        <v>4</v>
      </c>
      <c r="L903" s="1" t="s">
        <v>4277</v>
      </c>
      <c r="M903" s="1" t="s">
        <v>4279</v>
      </c>
      <c r="N903" s="1">
        <v>458.63</v>
      </c>
      <c r="O903" s="1">
        <f>(ordersTable[[#This Row],[Quantity]]*ordersTable[[#This Row],[UnitPrice]])-ordersTable[[#This Row],[TotalPrice]]</f>
        <v>0</v>
      </c>
    </row>
    <row r="904" spans="1:15" x14ac:dyDescent="0.3">
      <c r="A904" s="1" t="s">
        <v>916</v>
      </c>
      <c r="B904" s="2">
        <v>45486</v>
      </c>
      <c r="C904" s="3" t="s">
        <v>2112</v>
      </c>
      <c r="D904" s="1" t="s">
        <v>2403</v>
      </c>
      <c r="E904" s="5">
        <v>4</v>
      </c>
      <c r="F904" s="4">
        <v>180.25</v>
      </c>
      <c r="G904" s="1" t="s">
        <v>2469</v>
      </c>
      <c r="H904" s="1" t="s">
        <v>3065</v>
      </c>
      <c r="I904" s="1" t="s">
        <v>3071</v>
      </c>
      <c r="J904" s="1" t="s">
        <v>3977</v>
      </c>
      <c r="K904" s="1">
        <v>7</v>
      </c>
      <c r="M904" s="1" t="s">
        <v>4281</v>
      </c>
      <c r="N904" s="1">
        <v>721</v>
      </c>
      <c r="O904" s="1">
        <f>(ordersTable[[#This Row],[Quantity]]*ordersTable[[#This Row],[UnitPrice]])-ordersTable[[#This Row],[TotalPrice]]</f>
        <v>0</v>
      </c>
    </row>
    <row r="905" spans="1:15" x14ac:dyDescent="0.3">
      <c r="A905" s="1" t="s">
        <v>917</v>
      </c>
      <c r="B905" s="2">
        <v>45063</v>
      </c>
      <c r="C905" s="3" t="s">
        <v>2113</v>
      </c>
      <c r="D905" s="1" t="s">
        <v>2403</v>
      </c>
      <c r="E905" s="5">
        <v>3</v>
      </c>
      <c r="F905" s="4">
        <v>473.49</v>
      </c>
      <c r="G905" s="1" t="s">
        <v>2932</v>
      </c>
      <c r="H905" s="1" t="s">
        <v>3067</v>
      </c>
      <c r="I905" s="1" t="s">
        <v>3074</v>
      </c>
      <c r="J905" s="1" t="s">
        <v>3978</v>
      </c>
      <c r="K905" s="1">
        <v>7</v>
      </c>
      <c r="M905" s="1" t="s">
        <v>4280</v>
      </c>
      <c r="N905" s="1">
        <v>1420.47</v>
      </c>
      <c r="O905" s="1">
        <f>(ordersTable[[#This Row],[Quantity]]*ordersTable[[#This Row],[UnitPrice]])-ordersTable[[#This Row],[TotalPrice]]</f>
        <v>0</v>
      </c>
    </row>
    <row r="906" spans="1:15" x14ac:dyDescent="0.3">
      <c r="A906" s="1" t="s">
        <v>918</v>
      </c>
      <c r="B906" s="2">
        <v>45693</v>
      </c>
      <c r="C906" s="3" t="s">
        <v>2114</v>
      </c>
      <c r="D906" s="1" t="s">
        <v>2403</v>
      </c>
      <c r="E906" s="5">
        <v>4</v>
      </c>
      <c r="F906" s="4">
        <v>237.43</v>
      </c>
      <c r="G906" s="1" t="s">
        <v>2758</v>
      </c>
      <c r="H906" s="1" t="s">
        <v>3069</v>
      </c>
      <c r="I906" s="1" t="s">
        <v>3071</v>
      </c>
      <c r="J906" s="1" t="s">
        <v>3979</v>
      </c>
      <c r="K906" s="1">
        <v>8</v>
      </c>
      <c r="L906" s="1" t="s">
        <v>4277</v>
      </c>
      <c r="M906" s="1" t="s">
        <v>4279</v>
      </c>
      <c r="N906" s="1">
        <v>949.72</v>
      </c>
      <c r="O906" s="1">
        <f>(ordersTable[[#This Row],[Quantity]]*ordersTable[[#This Row],[UnitPrice]])-ordersTable[[#This Row],[TotalPrice]]</f>
        <v>0</v>
      </c>
    </row>
    <row r="907" spans="1:15" x14ac:dyDescent="0.3">
      <c r="A907" s="1" t="s">
        <v>919</v>
      </c>
      <c r="B907" s="2">
        <v>45253</v>
      </c>
      <c r="C907" s="3" t="s">
        <v>2115</v>
      </c>
      <c r="D907" s="1" t="s">
        <v>2408</v>
      </c>
      <c r="E907" s="5">
        <v>1</v>
      </c>
      <c r="F907" s="4">
        <v>442.39</v>
      </c>
      <c r="G907" s="1" t="s">
        <v>2677</v>
      </c>
      <c r="H907" s="1" t="s">
        <v>3068</v>
      </c>
      <c r="I907" s="1" t="s">
        <v>3074</v>
      </c>
      <c r="J907" s="1" t="s">
        <v>3980</v>
      </c>
      <c r="K907" s="1">
        <v>6</v>
      </c>
      <c r="L907" s="1" t="s">
        <v>4276</v>
      </c>
      <c r="M907" s="1" t="s">
        <v>4281</v>
      </c>
      <c r="N907" s="1">
        <v>442.39</v>
      </c>
      <c r="O907" s="1">
        <f>(ordersTable[[#This Row],[Quantity]]*ordersTable[[#This Row],[UnitPrice]])-ordersTable[[#This Row],[TotalPrice]]</f>
        <v>0</v>
      </c>
    </row>
    <row r="908" spans="1:15" x14ac:dyDescent="0.3">
      <c r="A908" s="1" t="s">
        <v>920</v>
      </c>
      <c r="B908" s="2">
        <v>45538</v>
      </c>
      <c r="C908" s="3" t="s">
        <v>2116</v>
      </c>
      <c r="D908" s="1" t="s">
        <v>2403</v>
      </c>
      <c r="E908" s="5">
        <v>1</v>
      </c>
      <c r="F908" s="4">
        <v>62.12</v>
      </c>
      <c r="G908" s="1" t="s">
        <v>2977</v>
      </c>
      <c r="H908" s="1" t="s">
        <v>3069</v>
      </c>
      <c r="I908" s="1" t="s">
        <v>3072</v>
      </c>
      <c r="J908" s="1" t="s">
        <v>3981</v>
      </c>
      <c r="K908" s="1">
        <v>2</v>
      </c>
      <c r="M908" s="1" t="s">
        <v>4280</v>
      </c>
      <c r="N908" s="1">
        <v>62.12</v>
      </c>
      <c r="O908" s="1">
        <f>(ordersTable[[#This Row],[Quantity]]*ordersTable[[#This Row],[UnitPrice]])-ordersTable[[#This Row],[TotalPrice]]</f>
        <v>0</v>
      </c>
    </row>
    <row r="909" spans="1:15" x14ac:dyDescent="0.3">
      <c r="A909" s="1" t="s">
        <v>921</v>
      </c>
      <c r="B909" s="2">
        <v>45508</v>
      </c>
      <c r="C909" s="3" t="s">
        <v>2117</v>
      </c>
      <c r="D909" s="1" t="s">
        <v>2409</v>
      </c>
      <c r="E909" s="5">
        <v>5</v>
      </c>
      <c r="F909" s="4">
        <v>298.39</v>
      </c>
      <c r="G909" s="1" t="s">
        <v>2534</v>
      </c>
      <c r="H909" s="1" t="s">
        <v>3068</v>
      </c>
      <c r="I909" s="1" t="s">
        <v>3071</v>
      </c>
      <c r="J909" s="1" t="s">
        <v>3982</v>
      </c>
      <c r="K909" s="1">
        <v>7</v>
      </c>
      <c r="L909" s="1" t="s">
        <v>4277</v>
      </c>
      <c r="M909" s="1" t="s">
        <v>4279</v>
      </c>
      <c r="N909" s="1">
        <v>1491.95</v>
      </c>
      <c r="O909" s="1">
        <f>(ordersTable[[#This Row],[Quantity]]*ordersTable[[#This Row],[UnitPrice]])-ordersTable[[#This Row],[TotalPrice]]</f>
        <v>0</v>
      </c>
    </row>
    <row r="910" spans="1:15" x14ac:dyDescent="0.3">
      <c r="A910" s="1" t="s">
        <v>922</v>
      </c>
      <c r="B910" s="2">
        <v>45783</v>
      </c>
      <c r="C910" s="3" t="s">
        <v>2118</v>
      </c>
      <c r="D910" s="1" t="s">
        <v>2409</v>
      </c>
      <c r="E910" s="5">
        <v>2</v>
      </c>
      <c r="F910" s="4">
        <v>697.93</v>
      </c>
      <c r="G910" s="1" t="s">
        <v>2567</v>
      </c>
      <c r="H910" s="1" t="s">
        <v>3067</v>
      </c>
      <c r="I910" s="1" t="s">
        <v>3071</v>
      </c>
      <c r="J910" s="1" t="s">
        <v>3983</v>
      </c>
      <c r="K910" s="1">
        <v>2</v>
      </c>
      <c r="L910" s="1" t="s">
        <v>4275</v>
      </c>
      <c r="M910" s="1" t="s">
        <v>4282</v>
      </c>
      <c r="N910" s="1">
        <v>1395.86</v>
      </c>
      <c r="O910" s="1">
        <f>(ordersTable[[#This Row],[Quantity]]*ordersTable[[#This Row],[UnitPrice]])-ordersTable[[#This Row],[TotalPrice]]</f>
        <v>0</v>
      </c>
    </row>
    <row r="911" spans="1:15" x14ac:dyDescent="0.3">
      <c r="A911" s="1" t="s">
        <v>923</v>
      </c>
      <c r="B911" s="2">
        <v>45439</v>
      </c>
      <c r="C911" s="3" t="s">
        <v>2119</v>
      </c>
      <c r="D911" s="1" t="s">
        <v>2405</v>
      </c>
      <c r="E911" s="5">
        <v>2</v>
      </c>
      <c r="F911" s="4">
        <v>291.85000000000002</v>
      </c>
      <c r="G911" s="1" t="s">
        <v>2431</v>
      </c>
      <c r="H911" s="1" t="s">
        <v>3069</v>
      </c>
      <c r="I911" s="1" t="s">
        <v>3070</v>
      </c>
      <c r="J911" s="1" t="s">
        <v>3984</v>
      </c>
      <c r="K911" s="1">
        <v>5</v>
      </c>
      <c r="L911" s="1" t="s">
        <v>4276</v>
      </c>
      <c r="M911" s="1" t="s">
        <v>4278</v>
      </c>
      <c r="N911" s="1">
        <v>583.70000000000005</v>
      </c>
      <c r="O911" s="1">
        <f>(ordersTable[[#This Row],[Quantity]]*ordersTable[[#This Row],[UnitPrice]])-ordersTable[[#This Row],[TotalPrice]]</f>
        <v>0</v>
      </c>
    </row>
    <row r="912" spans="1:15" x14ac:dyDescent="0.3">
      <c r="A912" s="1" t="s">
        <v>924</v>
      </c>
      <c r="B912" s="2">
        <v>45443</v>
      </c>
      <c r="C912" s="3" t="s">
        <v>2120</v>
      </c>
      <c r="D912" s="1" t="s">
        <v>2407</v>
      </c>
      <c r="E912" s="5">
        <v>3</v>
      </c>
      <c r="F912" s="4">
        <v>308.98</v>
      </c>
      <c r="G912" s="1" t="s">
        <v>2481</v>
      </c>
      <c r="H912" s="1" t="s">
        <v>3069</v>
      </c>
      <c r="I912" s="1" t="s">
        <v>3073</v>
      </c>
      <c r="J912" s="1" t="s">
        <v>3985</v>
      </c>
      <c r="K912" s="1">
        <v>3</v>
      </c>
      <c r="L912" s="1" t="s">
        <v>4275</v>
      </c>
      <c r="M912" s="1" t="s">
        <v>4278</v>
      </c>
      <c r="N912" s="1">
        <v>926.94</v>
      </c>
      <c r="O912" s="1">
        <f>(ordersTable[[#This Row],[Quantity]]*ordersTable[[#This Row],[UnitPrice]])-ordersTable[[#This Row],[TotalPrice]]</f>
        <v>0</v>
      </c>
    </row>
    <row r="913" spans="1:15" x14ac:dyDescent="0.3">
      <c r="A913" s="1" t="s">
        <v>925</v>
      </c>
      <c r="B913" s="2">
        <v>45517</v>
      </c>
      <c r="C913" s="3" t="s">
        <v>2121</v>
      </c>
      <c r="D913" s="1" t="s">
        <v>2409</v>
      </c>
      <c r="E913" s="5">
        <v>5</v>
      </c>
      <c r="F913" s="4">
        <v>396.86</v>
      </c>
      <c r="G913" s="1" t="s">
        <v>2520</v>
      </c>
      <c r="H913" s="1" t="s">
        <v>3069</v>
      </c>
      <c r="I913" s="1" t="s">
        <v>3071</v>
      </c>
      <c r="J913" s="1" t="s">
        <v>3986</v>
      </c>
      <c r="K913" s="1">
        <v>9</v>
      </c>
      <c r="L913" s="1" t="s">
        <v>4275</v>
      </c>
      <c r="M913" s="1" t="s">
        <v>4278</v>
      </c>
      <c r="N913" s="1">
        <v>1984.3</v>
      </c>
      <c r="O913" s="1">
        <f>(ordersTable[[#This Row],[Quantity]]*ordersTable[[#This Row],[UnitPrice]])-ordersTable[[#This Row],[TotalPrice]]</f>
        <v>0</v>
      </c>
    </row>
    <row r="914" spans="1:15" x14ac:dyDescent="0.3">
      <c r="A914" s="1" t="s">
        <v>926</v>
      </c>
      <c r="B914" s="2">
        <v>45313</v>
      </c>
      <c r="C914" s="3" t="s">
        <v>2122</v>
      </c>
      <c r="D914" s="1" t="s">
        <v>2409</v>
      </c>
      <c r="E914" s="5">
        <v>2</v>
      </c>
      <c r="F914" s="4">
        <v>139.69</v>
      </c>
      <c r="G914" s="1" t="s">
        <v>2492</v>
      </c>
      <c r="H914" s="1" t="s">
        <v>3066</v>
      </c>
      <c r="I914" s="1" t="s">
        <v>3072</v>
      </c>
      <c r="J914" s="1" t="s">
        <v>3987</v>
      </c>
      <c r="K914" s="1">
        <v>7</v>
      </c>
      <c r="L914" s="1" t="s">
        <v>4276</v>
      </c>
      <c r="M914" s="1" t="s">
        <v>4280</v>
      </c>
      <c r="N914" s="1">
        <v>279.38</v>
      </c>
      <c r="O914" s="1">
        <f>(ordersTable[[#This Row],[Quantity]]*ordersTable[[#This Row],[UnitPrice]])-ordersTable[[#This Row],[TotalPrice]]</f>
        <v>0</v>
      </c>
    </row>
    <row r="915" spans="1:15" x14ac:dyDescent="0.3">
      <c r="A915" s="1" t="s">
        <v>927</v>
      </c>
      <c r="B915" s="2">
        <v>44973</v>
      </c>
      <c r="C915" s="3" t="s">
        <v>2123</v>
      </c>
      <c r="D915" s="1" t="s">
        <v>2407</v>
      </c>
      <c r="E915" s="5">
        <v>5</v>
      </c>
      <c r="F915" s="4">
        <v>475.95</v>
      </c>
      <c r="G915" s="1" t="s">
        <v>2583</v>
      </c>
      <c r="H915" s="1" t="s">
        <v>3067</v>
      </c>
      <c r="I915" s="1" t="s">
        <v>3072</v>
      </c>
      <c r="J915" s="1" t="s">
        <v>3988</v>
      </c>
      <c r="K915" s="1">
        <v>8</v>
      </c>
      <c r="L915" s="1" t="s">
        <v>4277</v>
      </c>
      <c r="M915" s="1" t="s">
        <v>4281</v>
      </c>
      <c r="N915" s="1">
        <v>2379.75</v>
      </c>
      <c r="O915" s="1">
        <f>(ordersTable[[#This Row],[Quantity]]*ordersTable[[#This Row],[UnitPrice]])-ordersTable[[#This Row],[TotalPrice]]</f>
        <v>0</v>
      </c>
    </row>
    <row r="916" spans="1:15" x14ac:dyDescent="0.3">
      <c r="A916" s="1" t="s">
        <v>928</v>
      </c>
      <c r="B916" s="2">
        <v>45698</v>
      </c>
      <c r="C916" s="3" t="s">
        <v>2124</v>
      </c>
      <c r="D916" s="1" t="s">
        <v>2409</v>
      </c>
      <c r="E916" s="5">
        <v>1</v>
      </c>
      <c r="F916" s="4">
        <v>626.6</v>
      </c>
      <c r="G916" s="1" t="s">
        <v>2751</v>
      </c>
      <c r="H916" s="1" t="s">
        <v>3068</v>
      </c>
      <c r="I916" s="1" t="s">
        <v>3072</v>
      </c>
      <c r="J916" s="1" t="s">
        <v>3989</v>
      </c>
      <c r="K916" s="1">
        <v>4</v>
      </c>
      <c r="L916" s="1" t="s">
        <v>4277</v>
      </c>
      <c r="M916" s="1" t="s">
        <v>4281</v>
      </c>
      <c r="N916" s="1">
        <v>626.6</v>
      </c>
      <c r="O916" s="1">
        <f>(ordersTable[[#This Row],[Quantity]]*ordersTable[[#This Row],[UnitPrice]])-ordersTable[[#This Row],[TotalPrice]]</f>
        <v>0</v>
      </c>
    </row>
    <row r="917" spans="1:15" x14ac:dyDescent="0.3">
      <c r="A917" s="1" t="s">
        <v>929</v>
      </c>
      <c r="B917" s="2">
        <v>45338</v>
      </c>
      <c r="C917" s="3" t="s">
        <v>2125</v>
      </c>
      <c r="D917" s="1" t="s">
        <v>2408</v>
      </c>
      <c r="E917" s="5">
        <v>4</v>
      </c>
      <c r="F917" s="4">
        <v>502.99</v>
      </c>
      <c r="G917" s="1" t="s">
        <v>2978</v>
      </c>
      <c r="H917" s="1" t="s">
        <v>3065</v>
      </c>
      <c r="I917" s="1" t="s">
        <v>3070</v>
      </c>
      <c r="J917" s="1" t="s">
        <v>3990</v>
      </c>
      <c r="K917" s="1">
        <v>4</v>
      </c>
      <c r="L917" s="1" t="s">
        <v>4277</v>
      </c>
      <c r="M917" s="1" t="s">
        <v>4279</v>
      </c>
      <c r="N917" s="1">
        <v>2011.96</v>
      </c>
      <c r="O917" s="1">
        <f>(ordersTable[[#This Row],[Quantity]]*ordersTable[[#This Row],[UnitPrice]])-ordersTable[[#This Row],[TotalPrice]]</f>
        <v>0</v>
      </c>
    </row>
    <row r="918" spans="1:15" x14ac:dyDescent="0.3">
      <c r="A918" s="1" t="s">
        <v>930</v>
      </c>
      <c r="B918" s="2">
        <v>45464</v>
      </c>
      <c r="C918" s="3" t="s">
        <v>2126</v>
      </c>
      <c r="D918" s="1" t="s">
        <v>2407</v>
      </c>
      <c r="E918" s="5">
        <v>5</v>
      </c>
      <c r="F918" s="4">
        <v>578.83000000000004</v>
      </c>
      <c r="G918" s="1" t="s">
        <v>2913</v>
      </c>
      <c r="H918" s="1" t="s">
        <v>3069</v>
      </c>
      <c r="I918" s="1" t="s">
        <v>3072</v>
      </c>
      <c r="J918" s="1" t="s">
        <v>3991</v>
      </c>
      <c r="K918" s="1">
        <v>6</v>
      </c>
      <c r="M918" s="1" t="s">
        <v>4279</v>
      </c>
      <c r="N918" s="1">
        <v>2894.15</v>
      </c>
      <c r="O918" s="1">
        <f>(ordersTable[[#This Row],[Quantity]]*ordersTable[[#This Row],[UnitPrice]])-ordersTable[[#This Row],[TotalPrice]]</f>
        <v>0</v>
      </c>
    </row>
    <row r="919" spans="1:15" x14ac:dyDescent="0.3">
      <c r="A919" s="1" t="s">
        <v>931</v>
      </c>
      <c r="B919" s="2">
        <v>45677</v>
      </c>
      <c r="C919" s="3" t="s">
        <v>2127</v>
      </c>
      <c r="D919" s="1" t="s">
        <v>2408</v>
      </c>
      <c r="E919" s="5">
        <v>5</v>
      </c>
      <c r="F919" s="4">
        <v>383.82</v>
      </c>
      <c r="G919" s="1" t="s">
        <v>2979</v>
      </c>
      <c r="H919" s="1" t="s">
        <v>3067</v>
      </c>
      <c r="I919" s="1" t="s">
        <v>3072</v>
      </c>
      <c r="J919" s="1" t="s">
        <v>3992</v>
      </c>
      <c r="K919" s="1">
        <v>7</v>
      </c>
      <c r="L919" s="1" t="s">
        <v>4276</v>
      </c>
      <c r="M919" s="1" t="s">
        <v>4282</v>
      </c>
      <c r="N919" s="1">
        <v>1919.1</v>
      </c>
      <c r="O919" s="1">
        <f>(ordersTable[[#This Row],[Quantity]]*ordersTable[[#This Row],[UnitPrice]])-ordersTable[[#This Row],[TotalPrice]]</f>
        <v>0</v>
      </c>
    </row>
    <row r="920" spans="1:15" x14ac:dyDescent="0.3">
      <c r="A920" s="1" t="s">
        <v>932</v>
      </c>
      <c r="B920" s="2">
        <v>45832</v>
      </c>
      <c r="C920" s="3" t="s">
        <v>2128</v>
      </c>
      <c r="D920" s="1" t="s">
        <v>2408</v>
      </c>
      <c r="E920" s="5">
        <v>5</v>
      </c>
      <c r="F920" s="4">
        <v>368.25</v>
      </c>
      <c r="G920" s="1" t="s">
        <v>2417</v>
      </c>
      <c r="H920" s="1" t="s">
        <v>3066</v>
      </c>
      <c r="I920" s="1" t="s">
        <v>3073</v>
      </c>
      <c r="J920" s="1" t="s">
        <v>3993</v>
      </c>
      <c r="K920" s="1">
        <v>5</v>
      </c>
      <c r="M920" s="1" t="s">
        <v>4278</v>
      </c>
      <c r="N920" s="1">
        <v>1841.25</v>
      </c>
      <c r="O920" s="1">
        <f>(ordersTable[[#This Row],[Quantity]]*ordersTable[[#This Row],[UnitPrice]])-ordersTable[[#This Row],[TotalPrice]]</f>
        <v>0</v>
      </c>
    </row>
    <row r="921" spans="1:15" x14ac:dyDescent="0.3">
      <c r="A921" s="1" t="s">
        <v>933</v>
      </c>
      <c r="B921" s="2">
        <v>45695</v>
      </c>
      <c r="C921" s="3" t="s">
        <v>2129</v>
      </c>
      <c r="D921" s="1" t="s">
        <v>2407</v>
      </c>
      <c r="E921" s="5">
        <v>2</v>
      </c>
      <c r="F921" s="4">
        <v>374.6</v>
      </c>
      <c r="G921" s="1" t="s">
        <v>2522</v>
      </c>
      <c r="H921" s="1" t="s">
        <v>3066</v>
      </c>
      <c r="I921" s="1" t="s">
        <v>3070</v>
      </c>
      <c r="J921" s="1" t="s">
        <v>3994</v>
      </c>
      <c r="K921" s="1">
        <v>3</v>
      </c>
      <c r="L921" s="1" t="s">
        <v>4276</v>
      </c>
      <c r="M921" s="1" t="s">
        <v>4279</v>
      </c>
      <c r="N921" s="1">
        <v>749.2</v>
      </c>
      <c r="O921" s="1">
        <f>(ordersTable[[#This Row],[Quantity]]*ordersTable[[#This Row],[UnitPrice]])-ordersTable[[#This Row],[TotalPrice]]</f>
        <v>0</v>
      </c>
    </row>
    <row r="922" spans="1:15" x14ac:dyDescent="0.3">
      <c r="A922" s="1" t="s">
        <v>934</v>
      </c>
      <c r="B922" s="2">
        <v>45728</v>
      </c>
      <c r="C922" s="3" t="s">
        <v>2130</v>
      </c>
      <c r="D922" s="1" t="s">
        <v>2405</v>
      </c>
      <c r="E922" s="5">
        <v>2</v>
      </c>
      <c r="F922" s="4">
        <v>428.09</v>
      </c>
      <c r="G922" s="1" t="s">
        <v>2674</v>
      </c>
      <c r="H922" s="1" t="s">
        <v>3067</v>
      </c>
      <c r="I922" s="1" t="s">
        <v>3072</v>
      </c>
      <c r="J922" s="1" t="s">
        <v>3995</v>
      </c>
      <c r="K922" s="1">
        <v>6</v>
      </c>
      <c r="M922" s="1" t="s">
        <v>4278</v>
      </c>
      <c r="N922" s="1">
        <v>856.18</v>
      </c>
      <c r="O922" s="1">
        <f>(ordersTable[[#This Row],[Quantity]]*ordersTable[[#This Row],[UnitPrice]])-ordersTable[[#This Row],[TotalPrice]]</f>
        <v>0</v>
      </c>
    </row>
    <row r="923" spans="1:15" x14ac:dyDescent="0.3">
      <c r="A923" s="1" t="s">
        <v>935</v>
      </c>
      <c r="B923" s="2">
        <v>45131</v>
      </c>
      <c r="C923" s="3" t="s">
        <v>2131</v>
      </c>
      <c r="D923" s="1" t="s">
        <v>2405</v>
      </c>
      <c r="E923" s="5">
        <v>1</v>
      </c>
      <c r="F923" s="4">
        <v>438.93</v>
      </c>
      <c r="G923" s="1" t="s">
        <v>2980</v>
      </c>
      <c r="H923" s="1" t="s">
        <v>3068</v>
      </c>
      <c r="I923" s="1" t="s">
        <v>3071</v>
      </c>
      <c r="J923" s="1" t="s">
        <v>3996</v>
      </c>
      <c r="K923" s="1">
        <v>3</v>
      </c>
      <c r="L923" s="1" t="s">
        <v>4275</v>
      </c>
      <c r="M923" s="1" t="s">
        <v>4279</v>
      </c>
      <c r="N923" s="1">
        <v>438.93</v>
      </c>
      <c r="O923" s="1">
        <f>(ordersTable[[#This Row],[Quantity]]*ordersTable[[#This Row],[UnitPrice]])-ordersTable[[#This Row],[TotalPrice]]</f>
        <v>0</v>
      </c>
    </row>
    <row r="924" spans="1:15" x14ac:dyDescent="0.3">
      <c r="A924" s="1" t="s">
        <v>936</v>
      </c>
      <c r="B924" s="2">
        <v>45460</v>
      </c>
      <c r="C924" s="3" t="s">
        <v>2132</v>
      </c>
      <c r="D924" s="1" t="s">
        <v>2409</v>
      </c>
      <c r="E924" s="5">
        <v>2</v>
      </c>
      <c r="F924" s="4">
        <v>563.82000000000005</v>
      </c>
      <c r="G924" s="1" t="s">
        <v>2981</v>
      </c>
      <c r="H924" s="1" t="s">
        <v>3067</v>
      </c>
      <c r="I924" s="1" t="s">
        <v>3074</v>
      </c>
      <c r="J924" s="1" t="s">
        <v>3997</v>
      </c>
      <c r="K924" s="1">
        <v>3</v>
      </c>
      <c r="M924" s="1" t="s">
        <v>4278</v>
      </c>
      <c r="N924" s="1">
        <v>1127.6400000000001</v>
      </c>
      <c r="O924" s="1">
        <f>(ordersTable[[#This Row],[Quantity]]*ordersTable[[#This Row],[UnitPrice]])-ordersTable[[#This Row],[TotalPrice]]</f>
        <v>0</v>
      </c>
    </row>
    <row r="925" spans="1:15" x14ac:dyDescent="0.3">
      <c r="A925" s="1" t="s">
        <v>937</v>
      </c>
      <c r="B925" s="2">
        <v>44968</v>
      </c>
      <c r="C925" s="3" t="s">
        <v>2133</v>
      </c>
      <c r="D925" s="1" t="s">
        <v>2407</v>
      </c>
      <c r="E925" s="5">
        <v>3</v>
      </c>
      <c r="F925" s="4">
        <v>649.92999999999995</v>
      </c>
      <c r="G925" s="1" t="s">
        <v>2979</v>
      </c>
      <c r="H925" s="1" t="s">
        <v>3067</v>
      </c>
      <c r="I925" s="1" t="s">
        <v>3074</v>
      </c>
      <c r="J925" s="1" t="s">
        <v>3998</v>
      </c>
      <c r="K925" s="1">
        <v>7</v>
      </c>
      <c r="L925" s="1" t="s">
        <v>4277</v>
      </c>
      <c r="M925" s="1" t="s">
        <v>4281</v>
      </c>
      <c r="N925" s="1">
        <v>1949.79</v>
      </c>
      <c r="O925" s="1">
        <f>(ordersTable[[#This Row],[Quantity]]*ordersTable[[#This Row],[UnitPrice]])-ordersTable[[#This Row],[TotalPrice]]</f>
        <v>0</v>
      </c>
    </row>
    <row r="926" spans="1:15" x14ac:dyDescent="0.3">
      <c r="A926" s="1" t="s">
        <v>938</v>
      </c>
      <c r="B926" s="2">
        <v>45738</v>
      </c>
      <c r="C926" s="3" t="s">
        <v>2134</v>
      </c>
      <c r="D926" s="1" t="s">
        <v>2407</v>
      </c>
      <c r="E926" s="5">
        <v>5</v>
      </c>
      <c r="F926" s="4">
        <v>268.43</v>
      </c>
      <c r="G926" s="1" t="s">
        <v>2802</v>
      </c>
      <c r="H926" s="1" t="s">
        <v>3069</v>
      </c>
      <c r="I926" s="1" t="s">
        <v>3072</v>
      </c>
      <c r="J926" s="1" t="s">
        <v>3999</v>
      </c>
      <c r="K926" s="1">
        <v>5</v>
      </c>
      <c r="L926" s="1" t="s">
        <v>4275</v>
      </c>
      <c r="M926" s="1" t="s">
        <v>4280</v>
      </c>
      <c r="N926" s="1">
        <v>1342.15</v>
      </c>
      <c r="O926" s="1">
        <f>(ordersTable[[#This Row],[Quantity]]*ordersTable[[#This Row],[UnitPrice]])-ordersTable[[#This Row],[TotalPrice]]</f>
        <v>0</v>
      </c>
    </row>
    <row r="927" spans="1:15" x14ac:dyDescent="0.3">
      <c r="A927" s="1" t="s">
        <v>939</v>
      </c>
      <c r="B927" s="2">
        <v>45646</v>
      </c>
      <c r="C927" s="3" t="s">
        <v>2135</v>
      </c>
      <c r="D927" s="1" t="s">
        <v>2403</v>
      </c>
      <c r="E927" s="5">
        <v>5</v>
      </c>
      <c r="F927" s="4">
        <v>502.47</v>
      </c>
      <c r="G927" s="1" t="s">
        <v>2733</v>
      </c>
      <c r="H927" s="1" t="s">
        <v>3066</v>
      </c>
      <c r="I927" s="1" t="s">
        <v>3070</v>
      </c>
      <c r="J927" s="1" t="s">
        <v>4000</v>
      </c>
      <c r="K927" s="1">
        <v>10</v>
      </c>
      <c r="L927" s="1" t="s">
        <v>4277</v>
      </c>
      <c r="M927" s="1" t="s">
        <v>4280</v>
      </c>
      <c r="N927" s="1">
        <v>2512.35</v>
      </c>
      <c r="O927" s="1">
        <f>(ordersTable[[#This Row],[Quantity]]*ordersTable[[#This Row],[UnitPrice]])-ordersTable[[#This Row],[TotalPrice]]</f>
        <v>0</v>
      </c>
    </row>
    <row r="928" spans="1:15" x14ac:dyDescent="0.3">
      <c r="A928" s="1" t="s">
        <v>940</v>
      </c>
      <c r="B928" s="2">
        <v>45371</v>
      </c>
      <c r="C928" s="3" t="s">
        <v>2136</v>
      </c>
      <c r="D928" s="1" t="s">
        <v>2409</v>
      </c>
      <c r="E928" s="5">
        <v>1</v>
      </c>
      <c r="F928" s="4">
        <v>26.95</v>
      </c>
      <c r="G928" s="1" t="s">
        <v>2774</v>
      </c>
      <c r="H928" s="1" t="s">
        <v>3069</v>
      </c>
      <c r="I928" s="1" t="s">
        <v>3073</v>
      </c>
      <c r="J928" s="1" t="s">
        <v>4001</v>
      </c>
      <c r="K928" s="1">
        <v>1</v>
      </c>
      <c r="L928" s="1" t="s">
        <v>4277</v>
      </c>
      <c r="M928" s="1" t="s">
        <v>4280</v>
      </c>
      <c r="N928" s="1">
        <v>26.95</v>
      </c>
      <c r="O928" s="1">
        <f>(ordersTable[[#This Row],[Quantity]]*ordersTable[[#This Row],[UnitPrice]])-ordersTable[[#This Row],[TotalPrice]]</f>
        <v>0</v>
      </c>
    </row>
    <row r="929" spans="1:15" x14ac:dyDescent="0.3">
      <c r="A929" s="1" t="s">
        <v>941</v>
      </c>
      <c r="B929" s="2">
        <v>44971</v>
      </c>
      <c r="C929" s="3" t="s">
        <v>2137</v>
      </c>
      <c r="D929" s="1" t="s">
        <v>2408</v>
      </c>
      <c r="E929" s="5">
        <v>4</v>
      </c>
      <c r="F929" s="4">
        <v>64.69</v>
      </c>
      <c r="G929" s="1" t="s">
        <v>2873</v>
      </c>
      <c r="H929" s="1" t="s">
        <v>3065</v>
      </c>
      <c r="I929" s="1" t="s">
        <v>3070</v>
      </c>
      <c r="J929" s="1" t="s">
        <v>4002</v>
      </c>
      <c r="K929" s="1">
        <v>7</v>
      </c>
      <c r="L929" s="1" t="s">
        <v>4277</v>
      </c>
      <c r="M929" s="1" t="s">
        <v>4282</v>
      </c>
      <c r="N929" s="1">
        <v>258.76</v>
      </c>
      <c r="O929" s="1">
        <f>(ordersTable[[#This Row],[Quantity]]*ordersTable[[#This Row],[UnitPrice]])-ordersTable[[#This Row],[TotalPrice]]</f>
        <v>0</v>
      </c>
    </row>
    <row r="930" spans="1:15" x14ac:dyDescent="0.3">
      <c r="A930" s="1" t="s">
        <v>942</v>
      </c>
      <c r="B930" s="2">
        <v>45421</v>
      </c>
      <c r="C930" s="3" t="s">
        <v>2138</v>
      </c>
      <c r="D930" s="1" t="s">
        <v>2408</v>
      </c>
      <c r="E930" s="5">
        <v>3</v>
      </c>
      <c r="F930" s="4">
        <v>247.11</v>
      </c>
      <c r="G930" s="1" t="s">
        <v>2628</v>
      </c>
      <c r="H930" s="1" t="s">
        <v>3065</v>
      </c>
      <c r="I930" s="1" t="s">
        <v>3072</v>
      </c>
      <c r="J930" s="1" t="s">
        <v>4003</v>
      </c>
      <c r="K930" s="1">
        <v>3</v>
      </c>
      <c r="L930" s="1" t="s">
        <v>4277</v>
      </c>
      <c r="M930" s="1" t="s">
        <v>4279</v>
      </c>
      <c r="N930" s="1">
        <v>741.33</v>
      </c>
      <c r="O930" s="1">
        <f>(ordersTable[[#This Row],[Quantity]]*ordersTable[[#This Row],[UnitPrice]])-ordersTable[[#This Row],[TotalPrice]]</f>
        <v>0</v>
      </c>
    </row>
    <row r="931" spans="1:15" x14ac:dyDescent="0.3">
      <c r="A931" s="1" t="s">
        <v>943</v>
      </c>
      <c r="B931" s="2">
        <v>45581</v>
      </c>
      <c r="C931" s="3" t="s">
        <v>2139</v>
      </c>
      <c r="D931" s="1" t="s">
        <v>2405</v>
      </c>
      <c r="E931" s="5">
        <v>2</v>
      </c>
      <c r="F931" s="4">
        <v>536.25</v>
      </c>
      <c r="G931" s="1" t="s">
        <v>2568</v>
      </c>
      <c r="H931" s="1" t="s">
        <v>3065</v>
      </c>
      <c r="I931" s="1" t="s">
        <v>3074</v>
      </c>
      <c r="J931" s="1" t="s">
        <v>4004</v>
      </c>
      <c r="K931" s="1">
        <v>3</v>
      </c>
      <c r="M931" s="1" t="s">
        <v>4280</v>
      </c>
      <c r="N931" s="1">
        <v>1072.5</v>
      </c>
      <c r="O931" s="1">
        <f>(ordersTable[[#This Row],[Quantity]]*ordersTable[[#This Row],[UnitPrice]])-ordersTable[[#This Row],[TotalPrice]]</f>
        <v>0</v>
      </c>
    </row>
    <row r="932" spans="1:15" x14ac:dyDescent="0.3">
      <c r="A932" s="1" t="s">
        <v>944</v>
      </c>
      <c r="B932" s="2">
        <v>45642</v>
      </c>
      <c r="C932" s="3" t="s">
        <v>2140</v>
      </c>
      <c r="D932" s="1" t="s">
        <v>2404</v>
      </c>
      <c r="E932" s="5">
        <v>2</v>
      </c>
      <c r="F932" s="4">
        <v>456.04</v>
      </c>
      <c r="G932" s="1" t="s">
        <v>2427</v>
      </c>
      <c r="H932" s="1" t="s">
        <v>3065</v>
      </c>
      <c r="I932" s="1" t="s">
        <v>3072</v>
      </c>
      <c r="J932" s="1" t="s">
        <v>4005</v>
      </c>
      <c r="K932" s="1">
        <v>4</v>
      </c>
      <c r="L932" s="1" t="s">
        <v>4276</v>
      </c>
      <c r="M932" s="1" t="s">
        <v>4280</v>
      </c>
      <c r="N932" s="1">
        <v>912.08</v>
      </c>
      <c r="O932" s="1">
        <f>(ordersTable[[#This Row],[Quantity]]*ordersTable[[#This Row],[UnitPrice]])-ordersTable[[#This Row],[TotalPrice]]</f>
        <v>0</v>
      </c>
    </row>
    <row r="933" spans="1:15" x14ac:dyDescent="0.3">
      <c r="A933" s="1" t="s">
        <v>945</v>
      </c>
      <c r="B933" s="2">
        <v>45292</v>
      </c>
      <c r="C933" s="3" t="s">
        <v>2141</v>
      </c>
      <c r="D933" s="1" t="s">
        <v>2407</v>
      </c>
      <c r="E933" s="5">
        <v>2</v>
      </c>
      <c r="F933" s="4">
        <v>40.229999999999997</v>
      </c>
      <c r="G933" s="1" t="s">
        <v>2460</v>
      </c>
      <c r="H933" s="1" t="s">
        <v>3067</v>
      </c>
      <c r="I933" s="1" t="s">
        <v>3071</v>
      </c>
      <c r="J933" s="1" t="s">
        <v>4006</v>
      </c>
      <c r="K933" s="1">
        <v>4</v>
      </c>
      <c r="L933" s="1" t="s">
        <v>4275</v>
      </c>
      <c r="M933" s="1" t="s">
        <v>4282</v>
      </c>
      <c r="N933" s="1">
        <v>80.459999999999994</v>
      </c>
      <c r="O933" s="1">
        <f>(ordersTable[[#This Row],[Quantity]]*ordersTable[[#This Row],[UnitPrice]])-ordersTable[[#This Row],[TotalPrice]]</f>
        <v>0</v>
      </c>
    </row>
    <row r="934" spans="1:15" x14ac:dyDescent="0.3">
      <c r="A934" s="1" t="s">
        <v>946</v>
      </c>
      <c r="B934" s="2">
        <v>45011</v>
      </c>
      <c r="C934" s="3" t="s">
        <v>2142</v>
      </c>
      <c r="D934" s="1" t="s">
        <v>2408</v>
      </c>
      <c r="E934" s="5">
        <v>2</v>
      </c>
      <c r="F934" s="4">
        <v>72.39</v>
      </c>
      <c r="G934" s="1" t="s">
        <v>2982</v>
      </c>
      <c r="H934" s="1" t="s">
        <v>3066</v>
      </c>
      <c r="I934" s="1" t="s">
        <v>3073</v>
      </c>
      <c r="J934" s="1" t="s">
        <v>4007</v>
      </c>
      <c r="K934" s="1">
        <v>7</v>
      </c>
      <c r="L934" s="1" t="s">
        <v>4277</v>
      </c>
      <c r="M934" s="1" t="s">
        <v>4278</v>
      </c>
      <c r="N934" s="1">
        <v>144.78</v>
      </c>
      <c r="O934" s="1">
        <f>(ordersTable[[#This Row],[Quantity]]*ordersTable[[#This Row],[UnitPrice]])-ordersTable[[#This Row],[TotalPrice]]</f>
        <v>0</v>
      </c>
    </row>
    <row r="935" spans="1:15" x14ac:dyDescent="0.3">
      <c r="A935" s="1" t="s">
        <v>947</v>
      </c>
      <c r="B935" s="2">
        <v>44952</v>
      </c>
      <c r="C935" s="3" t="s">
        <v>2143</v>
      </c>
      <c r="D935" s="1" t="s">
        <v>2403</v>
      </c>
      <c r="E935" s="5">
        <v>2</v>
      </c>
      <c r="F935" s="4">
        <v>394.16</v>
      </c>
      <c r="G935" s="1" t="s">
        <v>2617</v>
      </c>
      <c r="H935" s="1" t="s">
        <v>3066</v>
      </c>
      <c r="I935" s="1" t="s">
        <v>3070</v>
      </c>
      <c r="J935" s="1" t="s">
        <v>4008</v>
      </c>
      <c r="K935" s="1">
        <v>2</v>
      </c>
      <c r="M935" s="1" t="s">
        <v>4279</v>
      </c>
      <c r="N935" s="1">
        <v>788.32</v>
      </c>
      <c r="O935" s="1">
        <f>(ordersTable[[#This Row],[Quantity]]*ordersTable[[#This Row],[UnitPrice]])-ordersTable[[#This Row],[TotalPrice]]</f>
        <v>0</v>
      </c>
    </row>
    <row r="936" spans="1:15" x14ac:dyDescent="0.3">
      <c r="A936" s="1" t="s">
        <v>948</v>
      </c>
      <c r="B936" s="2">
        <v>45809</v>
      </c>
      <c r="C936" s="3" t="s">
        <v>2144</v>
      </c>
      <c r="D936" s="1" t="s">
        <v>2408</v>
      </c>
      <c r="E936" s="5">
        <v>4</v>
      </c>
      <c r="F936" s="4">
        <v>119.84</v>
      </c>
      <c r="G936" s="1" t="s">
        <v>2604</v>
      </c>
      <c r="H936" s="1" t="s">
        <v>3068</v>
      </c>
      <c r="I936" s="1" t="s">
        <v>3070</v>
      </c>
      <c r="J936" s="1" t="s">
        <v>4009</v>
      </c>
      <c r="K936" s="1">
        <v>8</v>
      </c>
      <c r="L936" s="1" t="s">
        <v>4276</v>
      </c>
      <c r="M936" s="1" t="s">
        <v>4279</v>
      </c>
      <c r="N936" s="1">
        <v>479.36</v>
      </c>
      <c r="O936" s="1">
        <f>(ordersTable[[#This Row],[Quantity]]*ordersTable[[#This Row],[UnitPrice]])-ordersTable[[#This Row],[TotalPrice]]</f>
        <v>0</v>
      </c>
    </row>
    <row r="937" spans="1:15" x14ac:dyDescent="0.3">
      <c r="A937" s="1" t="s">
        <v>949</v>
      </c>
      <c r="B937" s="2">
        <v>45254</v>
      </c>
      <c r="C937" s="3" t="s">
        <v>2145</v>
      </c>
      <c r="D937" s="1" t="s">
        <v>2404</v>
      </c>
      <c r="E937" s="5">
        <v>3</v>
      </c>
      <c r="F937" s="4">
        <v>692.71</v>
      </c>
      <c r="G937" s="1" t="s">
        <v>2692</v>
      </c>
      <c r="H937" s="1" t="s">
        <v>3067</v>
      </c>
      <c r="I937" s="1" t="s">
        <v>3073</v>
      </c>
      <c r="J937" s="1" t="s">
        <v>4010</v>
      </c>
      <c r="K937" s="1">
        <v>3</v>
      </c>
      <c r="L937" s="1" t="s">
        <v>4276</v>
      </c>
      <c r="M937" s="1" t="s">
        <v>4278</v>
      </c>
      <c r="N937" s="1">
        <v>2078.13</v>
      </c>
      <c r="O937" s="1">
        <f>(ordersTable[[#This Row],[Quantity]]*ordersTable[[#This Row],[UnitPrice]])-ordersTable[[#This Row],[TotalPrice]]</f>
        <v>0</v>
      </c>
    </row>
    <row r="938" spans="1:15" x14ac:dyDescent="0.3">
      <c r="A938" s="1" t="s">
        <v>950</v>
      </c>
      <c r="B938" s="2">
        <v>45303</v>
      </c>
      <c r="C938" s="3" t="s">
        <v>2146</v>
      </c>
      <c r="D938" s="1" t="s">
        <v>2406</v>
      </c>
      <c r="E938" s="5">
        <v>4</v>
      </c>
      <c r="F938" s="4">
        <v>56.66</v>
      </c>
      <c r="G938" s="1" t="s">
        <v>2554</v>
      </c>
      <c r="H938" s="1" t="s">
        <v>3066</v>
      </c>
      <c r="I938" s="1" t="s">
        <v>3073</v>
      </c>
      <c r="J938" s="1" t="s">
        <v>4011</v>
      </c>
      <c r="K938" s="1">
        <v>4</v>
      </c>
      <c r="L938" s="1" t="s">
        <v>4275</v>
      </c>
      <c r="M938" s="1" t="s">
        <v>4278</v>
      </c>
      <c r="N938" s="1">
        <v>226.64</v>
      </c>
      <c r="O938" s="1">
        <f>(ordersTable[[#This Row],[Quantity]]*ordersTable[[#This Row],[UnitPrice]])-ordersTable[[#This Row],[TotalPrice]]</f>
        <v>0</v>
      </c>
    </row>
    <row r="939" spans="1:15" x14ac:dyDescent="0.3">
      <c r="A939" s="1" t="s">
        <v>951</v>
      </c>
      <c r="B939" s="2">
        <v>45307</v>
      </c>
      <c r="C939" s="3" t="s">
        <v>2147</v>
      </c>
      <c r="D939" s="1" t="s">
        <v>2406</v>
      </c>
      <c r="E939" s="5">
        <v>2</v>
      </c>
      <c r="F939" s="4">
        <v>298.52999999999997</v>
      </c>
      <c r="G939" s="1" t="s">
        <v>2735</v>
      </c>
      <c r="H939" s="1" t="s">
        <v>3065</v>
      </c>
      <c r="I939" s="1" t="s">
        <v>3071</v>
      </c>
      <c r="J939" s="1" t="s">
        <v>4012</v>
      </c>
      <c r="K939" s="1">
        <v>5</v>
      </c>
      <c r="L939" s="1" t="s">
        <v>4277</v>
      </c>
      <c r="M939" s="1" t="s">
        <v>4280</v>
      </c>
      <c r="N939" s="1">
        <v>597.05999999999995</v>
      </c>
      <c r="O939" s="1">
        <f>(ordersTable[[#This Row],[Quantity]]*ordersTable[[#This Row],[UnitPrice]])-ordersTable[[#This Row],[TotalPrice]]</f>
        <v>0</v>
      </c>
    </row>
    <row r="940" spans="1:15" x14ac:dyDescent="0.3">
      <c r="A940" s="1" t="s">
        <v>952</v>
      </c>
      <c r="B940" s="2">
        <v>45119</v>
      </c>
      <c r="C940" s="3" t="s">
        <v>2148</v>
      </c>
      <c r="D940" s="1" t="s">
        <v>2406</v>
      </c>
      <c r="E940" s="5">
        <v>3</v>
      </c>
      <c r="F940" s="4">
        <v>331.46</v>
      </c>
      <c r="G940" s="1" t="s">
        <v>2796</v>
      </c>
      <c r="H940" s="1" t="s">
        <v>3067</v>
      </c>
      <c r="I940" s="1" t="s">
        <v>3071</v>
      </c>
      <c r="J940" s="1" t="s">
        <v>4013</v>
      </c>
      <c r="K940" s="1">
        <v>6</v>
      </c>
      <c r="L940" s="1" t="s">
        <v>4277</v>
      </c>
      <c r="M940" s="1" t="s">
        <v>4279</v>
      </c>
      <c r="N940" s="1">
        <v>994.37999999999988</v>
      </c>
      <c r="O940" s="1">
        <f>(ordersTable[[#This Row],[Quantity]]*ordersTable[[#This Row],[UnitPrice]])-ordersTable[[#This Row],[TotalPrice]]</f>
        <v>0</v>
      </c>
    </row>
    <row r="941" spans="1:15" x14ac:dyDescent="0.3">
      <c r="A941" s="1" t="s">
        <v>953</v>
      </c>
      <c r="B941" s="2">
        <v>45763</v>
      </c>
      <c r="C941" s="3" t="s">
        <v>2149</v>
      </c>
      <c r="D941" s="1" t="s">
        <v>2408</v>
      </c>
      <c r="E941" s="5">
        <v>2</v>
      </c>
      <c r="F941" s="4">
        <v>521.4</v>
      </c>
      <c r="G941" s="1" t="s">
        <v>2983</v>
      </c>
      <c r="H941" s="1" t="s">
        <v>3069</v>
      </c>
      <c r="I941" s="1" t="s">
        <v>3073</v>
      </c>
      <c r="J941" s="1" t="s">
        <v>4014</v>
      </c>
      <c r="K941" s="1">
        <v>7</v>
      </c>
      <c r="L941" s="1" t="s">
        <v>4275</v>
      </c>
      <c r="M941" s="1" t="s">
        <v>4278</v>
      </c>
      <c r="N941" s="1">
        <v>1042.8</v>
      </c>
      <c r="O941" s="1">
        <f>(ordersTable[[#This Row],[Quantity]]*ordersTable[[#This Row],[UnitPrice]])-ordersTable[[#This Row],[TotalPrice]]</f>
        <v>0</v>
      </c>
    </row>
    <row r="942" spans="1:15" x14ac:dyDescent="0.3">
      <c r="A942" s="1" t="s">
        <v>954</v>
      </c>
      <c r="B942" s="2">
        <v>45012</v>
      </c>
      <c r="C942" s="3" t="s">
        <v>2150</v>
      </c>
      <c r="D942" s="1" t="s">
        <v>2407</v>
      </c>
      <c r="E942" s="5">
        <v>4</v>
      </c>
      <c r="F942" s="4">
        <v>305.32</v>
      </c>
      <c r="G942" s="1" t="s">
        <v>2984</v>
      </c>
      <c r="H942" s="1" t="s">
        <v>3066</v>
      </c>
      <c r="I942" s="1" t="s">
        <v>3071</v>
      </c>
      <c r="J942" s="1" t="s">
        <v>4015</v>
      </c>
      <c r="K942" s="1">
        <v>4</v>
      </c>
      <c r="L942" s="1" t="s">
        <v>4275</v>
      </c>
      <c r="M942" s="1" t="s">
        <v>4282</v>
      </c>
      <c r="N942" s="1">
        <v>1221.28</v>
      </c>
      <c r="O942" s="1">
        <f>(ordersTable[[#This Row],[Quantity]]*ordersTable[[#This Row],[UnitPrice]])-ordersTable[[#This Row],[TotalPrice]]</f>
        <v>0</v>
      </c>
    </row>
    <row r="943" spans="1:15" x14ac:dyDescent="0.3">
      <c r="A943" s="1" t="s">
        <v>955</v>
      </c>
      <c r="B943" s="2">
        <v>45124</v>
      </c>
      <c r="C943" s="3" t="s">
        <v>1653</v>
      </c>
      <c r="D943" s="1" t="s">
        <v>2407</v>
      </c>
      <c r="E943" s="5">
        <v>5</v>
      </c>
      <c r="F943" s="4">
        <v>111.7</v>
      </c>
      <c r="G943" s="1" t="s">
        <v>2690</v>
      </c>
      <c r="H943" s="1" t="s">
        <v>3067</v>
      </c>
      <c r="I943" s="1" t="s">
        <v>3071</v>
      </c>
      <c r="J943" s="1" t="s">
        <v>4016</v>
      </c>
      <c r="K943" s="1">
        <v>9</v>
      </c>
      <c r="L943" s="1" t="s">
        <v>4276</v>
      </c>
      <c r="M943" s="1" t="s">
        <v>4280</v>
      </c>
      <c r="N943" s="1">
        <v>558.5</v>
      </c>
      <c r="O943" s="1">
        <f>(ordersTable[[#This Row],[Quantity]]*ordersTable[[#This Row],[UnitPrice]])-ordersTable[[#This Row],[TotalPrice]]</f>
        <v>0</v>
      </c>
    </row>
    <row r="944" spans="1:15" x14ac:dyDescent="0.3">
      <c r="A944" s="1" t="s">
        <v>956</v>
      </c>
      <c r="B944" s="2">
        <v>45198</v>
      </c>
      <c r="C944" s="3" t="s">
        <v>2151</v>
      </c>
      <c r="D944" s="1" t="s">
        <v>2405</v>
      </c>
      <c r="E944" s="5">
        <v>1</v>
      </c>
      <c r="F944" s="4">
        <v>479.76</v>
      </c>
      <c r="G944" s="1" t="s">
        <v>2599</v>
      </c>
      <c r="H944" s="1" t="s">
        <v>3067</v>
      </c>
      <c r="I944" s="1" t="s">
        <v>3074</v>
      </c>
      <c r="J944" s="1" t="s">
        <v>4017</v>
      </c>
      <c r="K944" s="1">
        <v>1</v>
      </c>
      <c r="M944" s="1" t="s">
        <v>4280</v>
      </c>
      <c r="N944" s="1">
        <v>479.76</v>
      </c>
      <c r="O944" s="1">
        <f>(ordersTable[[#This Row],[Quantity]]*ordersTable[[#This Row],[UnitPrice]])-ordersTable[[#This Row],[TotalPrice]]</f>
        <v>0</v>
      </c>
    </row>
    <row r="945" spans="1:15" x14ac:dyDescent="0.3">
      <c r="A945" s="1" t="s">
        <v>957</v>
      </c>
      <c r="B945" s="2">
        <v>45287</v>
      </c>
      <c r="C945" s="3" t="s">
        <v>2152</v>
      </c>
      <c r="D945" s="1" t="s">
        <v>2403</v>
      </c>
      <c r="E945" s="5">
        <v>3</v>
      </c>
      <c r="F945" s="4">
        <v>193.49</v>
      </c>
      <c r="G945" s="1" t="s">
        <v>2985</v>
      </c>
      <c r="H945" s="1" t="s">
        <v>3068</v>
      </c>
      <c r="I945" s="1" t="s">
        <v>3072</v>
      </c>
      <c r="J945" s="1" t="s">
        <v>4018</v>
      </c>
      <c r="K945" s="1">
        <v>6</v>
      </c>
      <c r="L945" s="1" t="s">
        <v>4276</v>
      </c>
      <c r="M945" s="1" t="s">
        <v>4281</v>
      </c>
      <c r="N945" s="1">
        <v>580.47</v>
      </c>
      <c r="O945" s="1">
        <f>(ordersTable[[#This Row],[Quantity]]*ordersTable[[#This Row],[UnitPrice]])-ordersTable[[#This Row],[TotalPrice]]</f>
        <v>0</v>
      </c>
    </row>
    <row r="946" spans="1:15" x14ac:dyDescent="0.3">
      <c r="A946" s="1" t="s">
        <v>958</v>
      </c>
      <c r="B946" s="2">
        <v>45642</v>
      </c>
      <c r="C946" s="3" t="s">
        <v>2153</v>
      </c>
      <c r="D946" s="1" t="s">
        <v>2408</v>
      </c>
      <c r="E946" s="5">
        <v>2</v>
      </c>
      <c r="F946" s="4">
        <v>426.22</v>
      </c>
      <c r="G946" s="1" t="s">
        <v>2964</v>
      </c>
      <c r="H946" s="1" t="s">
        <v>3066</v>
      </c>
      <c r="I946" s="1" t="s">
        <v>3073</v>
      </c>
      <c r="J946" s="1" t="s">
        <v>4019</v>
      </c>
      <c r="K946" s="1">
        <v>7</v>
      </c>
      <c r="L946" s="1" t="s">
        <v>4277</v>
      </c>
      <c r="M946" s="1" t="s">
        <v>4282</v>
      </c>
      <c r="N946" s="1">
        <v>852.44</v>
      </c>
      <c r="O946" s="1">
        <f>(ordersTable[[#This Row],[Quantity]]*ordersTable[[#This Row],[UnitPrice]])-ordersTable[[#This Row],[TotalPrice]]</f>
        <v>0</v>
      </c>
    </row>
    <row r="947" spans="1:15" x14ac:dyDescent="0.3">
      <c r="A947" s="1" t="s">
        <v>959</v>
      </c>
      <c r="B947" s="2">
        <v>45158</v>
      </c>
      <c r="C947" s="3" t="s">
        <v>2154</v>
      </c>
      <c r="D947" s="1" t="s">
        <v>2405</v>
      </c>
      <c r="E947" s="5">
        <v>5</v>
      </c>
      <c r="F947" s="4">
        <v>276.44</v>
      </c>
      <c r="G947" s="1" t="s">
        <v>2695</v>
      </c>
      <c r="H947" s="1" t="s">
        <v>3068</v>
      </c>
      <c r="I947" s="1" t="s">
        <v>3070</v>
      </c>
      <c r="J947" s="1" t="s">
        <v>4020</v>
      </c>
      <c r="K947" s="1">
        <v>10</v>
      </c>
      <c r="L947" s="1" t="s">
        <v>4276</v>
      </c>
      <c r="M947" s="1" t="s">
        <v>4279</v>
      </c>
      <c r="N947" s="1">
        <v>1382.2</v>
      </c>
      <c r="O947" s="1">
        <f>(ordersTable[[#This Row],[Quantity]]*ordersTable[[#This Row],[UnitPrice]])-ordersTable[[#This Row],[TotalPrice]]</f>
        <v>0</v>
      </c>
    </row>
    <row r="948" spans="1:15" x14ac:dyDescent="0.3">
      <c r="A948" s="1" t="s">
        <v>960</v>
      </c>
      <c r="B948" s="2">
        <v>45416</v>
      </c>
      <c r="C948" s="3" t="s">
        <v>2155</v>
      </c>
      <c r="D948" s="1" t="s">
        <v>2404</v>
      </c>
      <c r="E948" s="5">
        <v>2</v>
      </c>
      <c r="F948" s="4">
        <v>404.96</v>
      </c>
      <c r="G948" s="1" t="s">
        <v>2684</v>
      </c>
      <c r="H948" s="1" t="s">
        <v>3069</v>
      </c>
      <c r="I948" s="1" t="s">
        <v>3070</v>
      </c>
      <c r="J948" s="1" t="s">
        <v>4021</v>
      </c>
      <c r="K948" s="1">
        <v>4</v>
      </c>
      <c r="L948" s="1" t="s">
        <v>4275</v>
      </c>
      <c r="M948" s="1" t="s">
        <v>4280</v>
      </c>
      <c r="N948" s="1">
        <v>809.92</v>
      </c>
      <c r="O948" s="1">
        <f>(ordersTable[[#This Row],[Quantity]]*ordersTable[[#This Row],[UnitPrice]])-ordersTable[[#This Row],[TotalPrice]]</f>
        <v>0</v>
      </c>
    </row>
    <row r="949" spans="1:15" x14ac:dyDescent="0.3">
      <c r="A949" s="1" t="s">
        <v>961</v>
      </c>
      <c r="B949" s="2">
        <v>45176</v>
      </c>
      <c r="C949" s="3" t="s">
        <v>2156</v>
      </c>
      <c r="D949" s="1" t="s">
        <v>2404</v>
      </c>
      <c r="E949" s="5">
        <v>4</v>
      </c>
      <c r="F949" s="4">
        <v>465.66</v>
      </c>
      <c r="G949" s="1" t="s">
        <v>2642</v>
      </c>
      <c r="H949" s="1" t="s">
        <v>3066</v>
      </c>
      <c r="I949" s="1" t="s">
        <v>3072</v>
      </c>
      <c r="J949" s="1" t="s">
        <v>4022</v>
      </c>
      <c r="K949" s="1">
        <v>9</v>
      </c>
      <c r="L949" s="1" t="s">
        <v>4276</v>
      </c>
      <c r="M949" s="1" t="s">
        <v>4280</v>
      </c>
      <c r="N949" s="1">
        <v>1862.64</v>
      </c>
      <c r="O949" s="1">
        <f>(ordersTable[[#This Row],[Quantity]]*ordersTable[[#This Row],[UnitPrice]])-ordersTable[[#This Row],[TotalPrice]]</f>
        <v>0</v>
      </c>
    </row>
    <row r="950" spans="1:15" x14ac:dyDescent="0.3">
      <c r="A950" s="1" t="s">
        <v>962</v>
      </c>
      <c r="B950" s="2">
        <v>45464</v>
      </c>
      <c r="C950" s="3" t="s">
        <v>1659</v>
      </c>
      <c r="D950" s="1" t="s">
        <v>2404</v>
      </c>
      <c r="E950" s="5">
        <v>2</v>
      </c>
      <c r="F950" s="4">
        <v>594.07000000000005</v>
      </c>
      <c r="G950" s="1" t="s">
        <v>2771</v>
      </c>
      <c r="H950" s="1" t="s">
        <v>3068</v>
      </c>
      <c r="I950" s="1" t="s">
        <v>3071</v>
      </c>
      <c r="J950" s="1" t="s">
        <v>4023</v>
      </c>
      <c r="K950" s="1">
        <v>2</v>
      </c>
      <c r="M950" s="1" t="s">
        <v>4282</v>
      </c>
      <c r="N950" s="1">
        <v>1188.1400000000001</v>
      </c>
      <c r="O950" s="1">
        <f>(ordersTable[[#This Row],[Quantity]]*ordersTable[[#This Row],[UnitPrice]])-ordersTable[[#This Row],[TotalPrice]]</f>
        <v>0</v>
      </c>
    </row>
    <row r="951" spans="1:15" x14ac:dyDescent="0.3">
      <c r="A951" s="1" t="s">
        <v>963</v>
      </c>
      <c r="B951" s="2">
        <v>45239</v>
      </c>
      <c r="C951" s="3" t="s">
        <v>2157</v>
      </c>
      <c r="D951" s="1" t="s">
        <v>2409</v>
      </c>
      <c r="E951" s="5">
        <v>5</v>
      </c>
      <c r="F951" s="4">
        <v>110.38</v>
      </c>
      <c r="G951" s="1" t="s">
        <v>2732</v>
      </c>
      <c r="H951" s="1" t="s">
        <v>3069</v>
      </c>
      <c r="I951" s="1" t="s">
        <v>3074</v>
      </c>
      <c r="J951" s="1" t="s">
        <v>4024</v>
      </c>
      <c r="K951" s="1">
        <v>10</v>
      </c>
      <c r="M951" s="1" t="s">
        <v>4279</v>
      </c>
      <c r="N951" s="1">
        <v>551.9</v>
      </c>
      <c r="O951" s="1">
        <f>(ordersTable[[#This Row],[Quantity]]*ordersTable[[#This Row],[UnitPrice]])-ordersTable[[#This Row],[TotalPrice]]</f>
        <v>0</v>
      </c>
    </row>
    <row r="952" spans="1:15" x14ac:dyDescent="0.3">
      <c r="A952" s="1" t="s">
        <v>964</v>
      </c>
      <c r="B952" s="2">
        <v>45443</v>
      </c>
      <c r="C952" s="3" t="s">
        <v>2158</v>
      </c>
      <c r="D952" s="1" t="s">
        <v>2408</v>
      </c>
      <c r="E952" s="5">
        <v>1</v>
      </c>
      <c r="F952" s="4">
        <v>596.24</v>
      </c>
      <c r="G952" s="1" t="s">
        <v>2428</v>
      </c>
      <c r="H952" s="1" t="s">
        <v>3067</v>
      </c>
      <c r="I952" s="1" t="s">
        <v>3072</v>
      </c>
      <c r="J952" s="1" t="s">
        <v>4025</v>
      </c>
      <c r="K952" s="1">
        <v>4</v>
      </c>
      <c r="L952" s="1" t="s">
        <v>4276</v>
      </c>
      <c r="M952" s="1" t="s">
        <v>4278</v>
      </c>
      <c r="N952" s="1">
        <v>596.24</v>
      </c>
      <c r="O952" s="1">
        <f>(ordersTable[[#This Row],[Quantity]]*ordersTable[[#This Row],[UnitPrice]])-ordersTable[[#This Row],[TotalPrice]]</f>
        <v>0</v>
      </c>
    </row>
    <row r="953" spans="1:15" x14ac:dyDescent="0.3">
      <c r="A953" s="1" t="s">
        <v>965</v>
      </c>
      <c r="B953" s="2">
        <v>45495</v>
      </c>
      <c r="C953" s="3" t="s">
        <v>2159</v>
      </c>
      <c r="D953" s="1" t="s">
        <v>2407</v>
      </c>
      <c r="E953" s="5">
        <v>2</v>
      </c>
      <c r="F953" s="4">
        <v>306.24</v>
      </c>
      <c r="G953" s="1" t="s">
        <v>2637</v>
      </c>
      <c r="H953" s="1" t="s">
        <v>3066</v>
      </c>
      <c r="I953" s="1" t="s">
        <v>3072</v>
      </c>
      <c r="J953" s="1" t="s">
        <v>4026</v>
      </c>
      <c r="K953" s="1">
        <v>4</v>
      </c>
      <c r="L953" s="1" t="s">
        <v>4276</v>
      </c>
      <c r="M953" s="1" t="s">
        <v>4280</v>
      </c>
      <c r="N953" s="1">
        <v>612.48</v>
      </c>
      <c r="O953" s="1">
        <f>(ordersTable[[#This Row],[Quantity]]*ordersTable[[#This Row],[UnitPrice]])-ordersTable[[#This Row],[TotalPrice]]</f>
        <v>0</v>
      </c>
    </row>
    <row r="954" spans="1:15" x14ac:dyDescent="0.3">
      <c r="A954" s="1" t="s">
        <v>966</v>
      </c>
      <c r="B954" s="2">
        <v>45715</v>
      </c>
      <c r="C954" s="3" t="s">
        <v>2160</v>
      </c>
      <c r="D954" s="1" t="s">
        <v>2403</v>
      </c>
      <c r="E954" s="5">
        <v>3</v>
      </c>
      <c r="F954" s="4">
        <v>503.39</v>
      </c>
      <c r="G954" s="1" t="s">
        <v>2986</v>
      </c>
      <c r="H954" s="1" t="s">
        <v>3066</v>
      </c>
      <c r="I954" s="1" t="s">
        <v>3074</v>
      </c>
      <c r="J954" s="1" t="s">
        <v>4027</v>
      </c>
      <c r="K954" s="1">
        <v>5</v>
      </c>
      <c r="M954" s="1" t="s">
        <v>4281</v>
      </c>
      <c r="N954" s="1">
        <v>1510.17</v>
      </c>
      <c r="O954" s="1">
        <f>(ordersTable[[#This Row],[Quantity]]*ordersTable[[#This Row],[UnitPrice]])-ordersTable[[#This Row],[TotalPrice]]</f>
        <v>0</v>
      </c>
    </row>
    <row r="955" spans="1:15" x14ac:dyDescent="0.3">
      <c r="A955" s="1" t="s">
        <v>967</v>
      </c>
      <c r="B955" s="2">
        <v>44963</v>
      </c>
      <c r="C955" s="3" t="s">
        <v>2161</v>
      </c>
      <c r="D955" s="1" t="s">
        <v>2404</v>
      </c>
      <c r="E955" s="5">
        <v>1</v>
      </c>
      <c r="F955" s="4">
        <v>131.61000000000001</v>
      </c>
      <c r="G955" s="1" t="s">
        <v>2486</v>
      </c>
      <c r="H955" s="1" t="s">
        <v>3069</v>
      </c>
      <c r="I955" s="1" t="s">
        <v>3070</v>
      </c>
      <c r="J955" s="1" t="s">
        <v>4028</v>
      </c>
      <c r="K955" s="1">
        <v>2</v>
      </c>
      <c r="L955" s="1" t="s">
        <v>4276</v>
      </c>
      <c r="M955" s="1" t="s">
        <v>4281</v>
      </c>
      <c r="N955" s="1">
        <v>131.61000000000001</v>
      </c>
      <c r="O955" s="1">
        <f>(ordersTable[[#This Row],[Quantity]]*ordersTable[[#This Row],[UnitPrice]])-ordersTable[[#This Row],[TotalPrice]]</f>
        <v>0</v>
      </c>
    </row>
    <row r="956" spans="1:15" x14ac:dyDescent="0.3">
      <c r="A956" s="1" t="s">
        <v>968</v>
      </c>
      <c r="B956" s="2">
        <v>45587</v>
      </c>
      <c r="C956" s="3" t="s">
        <v>2162</v>
      </c>
      <c r="D956" s="1" t="s">
        <v>2406</v>
      </c>
      <c r="E956" s="5">
        <v>3</v>
      </c>
      <c r="F956" s="4">
        <v>443.44</v>
      </c>
      <c r="G956" s="1" t="s">
        <v>2556</v>
      </c>
      <c r="H956" s="1" t="s">
        <v>3068</v>
      </c>
      <c r="I956" s="1" t="s">
        <v>3070</v>
      </c>
      <c r="J956" s="1" t="s">
        <v>4029</v>
      </c>
      <c r="K956" s="1">
        <v>3</v>
      </c>
      <c r="L956" s="1" t="s">
        <v>4276</v>
      </c>
      <c r="M956" s="1" t="s">
        <v>4282</v>
      </c>
      <c r="N956" s="1">
        <v>1330.32</v>
      </c>
      <c r="O956" s="1">
        <f>(ordersTable[[#This Row],[Quantity]]*ordersTable[[#This Row],[UnitPrice]])-ordersTable[[#This Row],[TotalPrice]]</f>
        <v>0</v>
      </c>
    </row>
    <row r="957" spans="1:15" x14ac:dyDescent="0.3">
      <c r="A957" s="1" t="s">
        <v>969</v>
      </c>
      <c r="B957" s="2">
        <v>44949</v>
      </c>
      <c r="C957" s="3" t="s">
        <v>2163</v>
      </c>
      <c r="D957" s="1" t="s">
        <v>2406</v>
      </c>
      <c r="E957" s="5">
        <v>1</v>
      </c>
      <c r="F957" s="4">
        <v>408.13</v>
      </c>
      <c r="G957" s="1" t="s">
        <v>2623</v>
      </c>
      <c r="H957" s="1" t="s">
        <v>3068</v>
      </c>
      <c r="I957" s="1" t="s">
        <v>3070</v>
      </c>
      <c r="J957" s="1" t="s">
        <v>4030</v>
      </c>
      <c r="K957" s="1">
        <v>3</v>
      </c>
      <c r="L957" s="1" t="s">
        <v>4277</v>
      </c>
      <c r="M957" s="1" t="s">
        <v>4278</v>
      </c>
      <c r="N957" s="1">
        <v>408.13</v>
      </c>
      <c r="O957" s="1">
        <f>(ordersTable[[#This Row],[Quantity]]*ordersTable[[#This Row],[UnitPrice]])-ordersTable[[#This Row],[TotalPrice]]</f>
        <v>0</v>
      </c>
    </row>
    <row r="958" spans="1:15" x14ac:dyDescent="0.3">
      <c r="A958" s="1" t="s">
        <v>970</v>
      </c>
      <c r="B958" s="2">
        <v>45393</v>
      </c>
      <c r="C958" s="3" t="s">
        <v>1995</v>
      </c>
      <c r="D958" s="1" t="s">
        <v>2404</v>
      </c>
      <c r="E958" s="5">
        <v>2</v>
      </c>
      <c r="F958" s="4">
        <v>160.97999999999999</v>
      </c>
      <c r="G958" s="1" t="s">
        <v>2987</v>
      </c>
      <c r="H958" s="1" t="s">
        <v>3065</v>
      </c>
      <c r="I958" s="1" t="s">
        <v>3073</v>
      </c>
      <c r="J958" s="1" t="s">
        <v>4031</v>
      </c>
      <c r="K958" s="1">
        <v>3</v>
      </c>
      <c r="L958" s="1" t="s">
        <v>4275</v>
      </c>
      <c r="M958" s="1" t="s">
        <v>4279</v>
      </c>
      <c r="N958" s="1">
        <v>321.95999999999998</v>
      </c>
      <c r="O958" s="1">
        <f>(ordersTable[[#This Row],[Quantity]]*ordersTable[[#This Row],[UnitPrice]])-ordersTable[[#This Row],[TotalPrice]]</f>
        <v>0</v>
      </c>
    </row>
    <row r="959" spans="1:15" x14ac:dyDescent="0.3">
      <c r="A959" s="1" t="s">
        <v>971</v>
      </c>
      <c r="B959" s="2">
        <v>44938</v>
      </c>
      <c r="C959" s="3" t="s">
        <v>2164</v>
      </c>
      <c r="D959" s="1" t="s">
        <v>2403</v>
      </c>
      <c r="E959" s="5">
        <v>5</v>
      </c>
      <c r="F959" s="4">
        <v>643.89</v>
      </c>
      <c r="G959" s="1" t="s">
        <v>2988</v>
      </c>
      <c r="H959" s="1" t="s">
        <v>3069</v>
      </c>
      <c r="I959" s="1" t="s">
        <v>3072</v>
      </c>
      <c r="J959" s="1" t="s">
        <v>4032</v>
      </c>
      <c r="K959" s="1">
        <v>8</v>
      </c>
      <c r="L959" s="1" t="s">
        <v>4277</v>
      </c>
      <c r="M959" s="1" t="s">
        <v>4281</v>
      </c>
      <c r="N959" s="1">
        <v>3219.45</v>
      </c>
      <c r="O959" s="1">
        <f>(ordersTable[[#This Row],[Quantity]]*ordersTable[[#This Row],[UnitPrice]])-ordersTable[[#This Row],[TotalPrice]]</f>
        <v>0</v>
      </c>
    </row>
    <row r="960" spans="1:15" x14ac:dyDescent="0.3">
      <c r="A960" s="1" t="s">
        <v>972</v>
      </c>
      <c r="B960" s="2">
        <v>45059</v>
      </c>
      <c r="C960" s="3" t="s">
        <v>2165</v>
      </c>
      <c r="D960" s="1" t="s">
        <v>2409</v>
      </c>
      <c r="E960" s="5">
        <v>3</v>
      </c>
      <c r="F960" s="4">
        <v>158.66</v>
      </c>
      <c r="G960" s="1" t="s">
        <v>2656</v>
      </c>
      <c r="H960" s="1" t="s">
        <v>3068</v>
      </c>
      <c r="I960" s="1" t="s">
        <v>3073</v>
      </c>
      <c r="J960" s="1" t="s">
        <v>4033</v>
      </c>
      <c r="K960" s="1">
        <v>7</v>
      </c>
      <c r="L960" s="1" t="s">
        <v>4277</v>
      </c>
      <c r="M960" s="1" t="s">
        <v>4280</v>
      </c>
      <c r="N960" s="1">
        <v>475.98</v>
      </c>
      <c r="O960" s="1">
        <f>(ordersTable[[#This Row],[Quantity]]*ordersTable[[#This Row],[UnitPrice]])-ordersTable[[#This Row],[TotalPrice]]</f>
        <v>0</v>
      </c>
    </row>
    <row r="961" spans="1:15" x14ac:dyDescent="0.3">
      <c r="A961" s="1" t="s">
        <v>973</v>
      </c>
      <c r="B961" s="2">
        <v>45395</v>
      </c>
      <c r="C961" s="3" t="s">
        <v>2166</v>
      </c>
      <c r="D961" s="1" t="s">
        <v>2405</v>
      </c>
      <c r="E961" s="5">
        <v>2</v>
      </c>
      <c r="F961" s="4">
        <v>143.82</v>
      </c>
      <c r="G961" s="1" t="s">
        <v>2662</v>
      </c>
      <c r="H961" s="1" t="s">
        <v>3067</v>
      </c>
      <c r="I961" s="1" t="s">
        <v>3072</v>
      </c>
      <c r="J961" s="1" t="s">
        <v>4034</v>
      </c>
      <c r="K961" s="1">
        <v>6</v>
      </c>
      <c r="L961" s="1" t="s">
        <v>4275</v>
      </c>
      <c r="M961" s="1" t="s">
        <v>4278</v>
      </c>
      <c r="N961" s="1">
        <v>287.64</v>
      </c>
      <c r="O961" s="1">
        <f>(ordersTable[[#This Row],[Quantity]]*ordersTable[[#This Row],[UnitPrice]])-ordersTable[[#This Row],[TotalPrice]]</f>
        <v>0</v>
      </c>
    </row>
    <row r="962" spans="1:15" x14ac:dyDescent="0.3">
      <c r="A962" s="1" t="s">
        <v>974</v>
      </c>
      <c r="B962" s="2">
        <v>45271</v>
      </c>
      <c r="C962" s="3" t="s">
        <v>2167</v>
      </c>
      <c r="D962" s="1" t="s">
        <v>2408</v>
      </c>
      <c r="E962" s="5">
        <v>3</v>
      </c>
      <c r="F962" s="4">
        <v>379.07</v>
      </c>
      <c r="G962" s="1" t="s">
        <v>2714</v>
      </c>
      <c r="H962" s="1" t="s">
        <v>3068</v>
      </c>
      <c r="I962" s="1" t="s">
        <v>3074</v>
      </c>
      <c r="J962" s="1" t="s">
        <v>4035</v>
      </c>
      <c r="K962" s="1">
        <v>3</v>
      </c>
      <c r="L962" s="1" t="s">
        <v>4277</v>
      </c>
      <c r="M962" s="1" t="s">
        <v>4282</v>
      </c>
      <c r="N962" s="1">
        <v>1137.21</v>
      </c>
      <c r="O962" s="1">
        <f>(ordersTable[[#This Row],[Quantity]]*ordersTable[[#This Row],[UnitPrice]])-ordersTable[[#This Row],[TotalPrice]]</f>
        <v>0</v>
      </c>
    </row>
    <row r="963" spans="1:15" x14ac:dyDescent="0.3">
      <c r="A963" s="1" t="s">
        <v>975</v>
      </c>
      <c r="B963" s="2">
        <v>45607</v>
      </c>
      <c r="C963" s="3" t="s">
        <v>2168</v>
      </c>
      <c r="D963" s="1" t="s">
        <v>2404</v>
      </c>
      <c r="E963" s="5">
        <v>1</v>
      </c>
      <c r="F963" s="4">
        <v>601.36</v>
      </c>
      <c r="G963" s="1" t="s">
        <v>2685</v>
      </c>
      <c r="H963" s="1" t="s">
        <v>3066</v>
      </c>
      <c r="I963" s="1" t="s">
        <v>3070</v>
      </c>
      <c r="J963" s="1" t="s">
        <v>4036</v>
      </c>
      <c r="K963" s="1">
        <v>1</v>
      </c>
      <c r="M963" s="1" t="s">
        <v>4281</v>
      </c>
      <c r="N963" s="1">
        <v>601.36</v>
      </c>
      <c r="O963" s="1">
        <f>(ordersTable[[#This Row],[Quantity]]*ordersTable[[#This Row],[UnitPrice]])-ordersTable[[#This Row],[TotalPrice]]</f>
        <v>0</v>
      </c>
    </row>
    <row r="964" spans="1:15" x14ac:dyDescent="0.3">
      <c r="A964" s="1" t="s">
        <v>976</v>
      </c>
      <c r="B964" s="2">
        <v>45541</v>
      </c>
      <c r="C964" s="3" t="s">
        <v>2169</v>
      </c>
      <c r="D964" s="1" t="s">
        <v>2404</v>
      </c>
      <c r="E964" s="5">
        <v>2</v>
      </c>
      <c r="F964" s="4">
        <v>142.08000000000001</v>
      </c>
      <c r="G964" s="1" t="s">
        <v>2621</v>
      </c>
      <c r="H964" s="1" t="s">
        <v>3068</v>
      </c>
      <c r="I964" s="1" t="s">
        <v>3073</v>
      </c>
      <c r="J964" s="1" t="s">
        <v>4037</v>
      </c>
      <c r="K964" s="1">
        <v>4</v>
      </c>
      <c r="L964" s="1" t="s">
        <v>4275</v>
      </c>
      <c r="M964" s="1" t="s">
        <v>4279</v>
      </c>
      <c r="N964" s="1">
        <v>284.16000000000003</v>
      </c>
      <c r="O964" s="1">
        <f>(ordersTable[[#This Row],[Quantity]]*ordersTable[[#This Row],[UnitPrice]])-ordersTable[[#This Row],[TotalPrice]]</f>
        <v>0</v>
      </c>
    </row>
    <row r="965" spans="1:15" x14ac:dyDescent="0.3">
      <c r="A965" s="1" t="s">
        <v>977</v>
      </c>
      <c r="B965" s="2">
        <v>45362</v>
      </c>
      <c r="C965" s="3" t="s">
        <v>2170</v>
      </c>
      <c r="D965" s="1" t="s">
        <v>2406</v>
      </c>
      <c r="E965" s="5">
        <v>5</v>
      </c>
      <c r="F965" s="4">
        <v>530.34</v>
      </c>
      <c r="G965" s="1" t="s">
        <v>2572</v>
      </c>
      <c r="H965" s="1" t="s">
        <v>3066</v>
      </c>
      <c r="I965" s="1" t="s">
        <v>3070</v>
      </c>
      <c r="J965" s="1" t="s">
        <v>4038</v>
      </c>
      <c r="K965" s="1">
        <v>9</v>
      </c>
      <c r="L965" s="1" t="s">
        <v>4276</v>
      </c>
      <c r="M965" s="1" t="s">
        <v>4282</v>
      </c>
      <c r="N965" s="1">
        <v>2651.7</v>
      </c>
      <c r="O965" s="1">
        <f>(ordersTable[[#This Row],[Quantity]]*ordersTable[[#This Row],[UnitPrice]])-ordersTable[[#This Row],[TotalPrice]]</f>
        <v>0</v>
      </c>
    </row>
    <row r="966" spans="1:15" x14ac:dyDescent="0.3">
      <c r="A966" s="1" t="s">
        <v>978</v>
      </c>
      <c r="B966" s="2">
        <v>45158</v>
      </c>
      <c r="C966" s="3" t="s">
        <v>2171</v>
      </c>
      <c r="D966" s="1" t="s">
        <v>2404</v>
      </c>
      <c r="E966" s="5">
        <v>5</v>
      </c>
      <c r="F966" s="4">
        <v>364.42</v>
      </c>
      <c r="G966" s="1" t="s">
        <v>2730</v>
      </c>
      <c r="H966" s="1" t="s">
        <v>3067</v>
      </c>
      <c r="I966" s="1" t="s">
        <v>3071</v>
      </c>
      <c r="J966" s="1" t="s">
        <v>4039</v>
      </c>
      <c r="K966" s="1">
        <v>10</v>
      </c>
      <c r="L966" s="1" t="s">
        <v>4275</v>
      </c>
      <c r="M966" s="1" t="s">
        <v>4279</v>
      </c>
      <c r="N966" s="1">
        <v>1822.1</v>
      </c>
      <c r="O966" s="1">
        <f>(ordersTable[[#This Row],[Quantity]]*ordersTable[[#This Row],[UnitPrice]])-ordersTable[[#This Row],[TotalPrice]]</f>
        <v>0</v>
      </c>
    </row>
    <row r="967" spans="1:15" x14ac:dyDescent="0.3">
      <c r="A967" s="1" t="s">
        <v>979</v>
      </c>
      <c r="B967" s="2">
        <v>45826</v>
      </c>
      <c r="C967" s="3" t="s">
        <v>2172</v>
      </c>
      <c r="D967" s="1" t="s">
        <v>2408</v>
      </c>
      <c r="E967" s="5">
        <v>4</v>
      </c>
      <c r="F967" s="4">
        <v>578.28</v>
      </c>
      <c r="G967" s="1" t="s">
        <v>2641</v>
      </c>
      <c r="H967" s="1" t="s">
        <v>3068</v>
      </c>
      <c r="I967" s="1" t="s">
        <v>3071</v>
      </c>
      <c r="J967" s="1" t="s">
        <v>4040</v>
      </c>
      <c r="K967" s="1">
        <v>5</v>
      </c>
      <c r="L967" s="1" t="s">
        <v>4276</v>
      </c>
      <c r="M967" s="1" t="s">
        <v>4280</v>
      </c>
      <c r="N967" s="1">
        <v>2313.12</v>
      </c>
      <c r="O967" s="1">
        <f>(ordersTable[[#This Row],[Quantity]]*ordersTable[[#This Row],[UnitPrice]])-ordersTable[[#This Row],[TotalPrice]]</f>
        <v>0</v>
      </c>
    </row>
    <row r="968" spans="1:15" x14ac:dyDescent="0.3">
      <c r="A968" s="1" t="s">
        <v>980</v>
      </c>
      <c r="B968" s="2">
        <v>45797</v>
      </c>
      <c r="C968" s="3" t="s">
        <v>2173</v>
      </c>
      <c r="D968" s="1" t="s">
        <v>2403</v>
      </c>
      <c r="E968" s="5">
        <v>5</v>
      </c>
      <c r="F968" s="4">
        <v>280.52</v>
      </c>
      <c r="G968" s="1" t="s">
        <v>2989</v>
      </c>
      <c r="H968" s="1" t="s">
        <v>3067</v>
      </c>
      <c r="I968" s="1" t="s">
        <v>3071</v>
      </c>
      <c r="J968" s="1" t="s">
        <v>4041</v>
      </c>
      <c r="K968" s="1">
        <v>7</v>
      </c>
      <c r="L968" s="1" t="s">
        <v>4277</v>
      </c>
      <c r="M968" s="1" t="s">
        <v>4281</v>
      </c>
      <c r="N968" s="1">
        <v>1402.6</v>
      </c>
      <c r="O968" s="1">
        <f>(ordersTable[[#This Row],[Quantity]]*ordersTable[[#This Row],[UnitPrice]])-ordersTable[[#This Row],[TotalPrice]]</f>
        <v>0</v>
      </c>
    </row>
    <row r="969" spans="1:15" x14ac:dyDescent="0.3">
      <c r="A969" s="1" t="s">
        <v>981</v>
      </c>
      <c r="B969" s="2">
        <v>45783</v>
      </c>
      <c r="C969" s="3" t="s">
        <v>2174</v>
      </c>
      <c r="D969" s="1" t="s">
        <v>2405</v>
      </c>
      <c r="E969" s="5">
        <v>5</v>
      </c>
      <c r="F969" s="4">
        <v>638.91999999999996</v>
      </c>
      <c r="G969" s="1" t="s">
        <v>2990</v>
      </c>
      <c r="H969" s="1" t="s">
        <v>3067</v>
      </c>
      <c r="I969" s="1" t="s">
        <v>3072</v>
      </c>
      <c r="J969" s="1" t="s">
        <v>4042</v>
      </c>
      <c r="K969" s="1">
        <v>5</v>
      </c>
      <c r="L969" s="1" t="s">
        <v>4276</v>
      </c>
      <c r="M969" s="1" t="s">
        <v>4282</v>
      </c>
      <c r="N969" s="1">
        <v>3194.6</v>
      </c>
      <c r="O969" s="1">
        <f>(ordersTable[[#This Row],[Quantity]]*ordersTable[[#This Row],[UnitPrice]])-ordersTable[[#This Row],[TotalPrice]]</f>
        <v>0</v>
      </c>
    </row>
    <row r="970" spans="1:15" x14ac:dyDescent="0.3">
      <c r="A970" s="1" t="s">
        <v>982</v>
      </c>
      <c r="B970" s="2">
        <v>45330</v>
      </c>
      <c r="C970" s="3" t="s">
        <v>2175</v>
      </c>
      <c r="D970" s="1" t="s">
        <v>2403</v>
      </c>
      <c r="E970" s="5">
        <v>4</v>
      </c>
      <c r="F970" s="4">
        <v>412.2</v>
      </c>
      <c r="G970" s="1" t="s">
        <v>2943</v>
      </c>
      <c r="H970" s="1" t="s">
        <v>3067</v>
      </c>
      <c r="I970" s="1" t="s">
        <v>3070</v>
      </c>
      <c r="J970" s="1" t="s">
        <v>4043</v>
      </c>
      <c r="K970" s="1">
        <v>6</v>
      </c>
      <c r="L970" s="1" t="s">
        <v>4277</v>
      </c>
      <c r="M970" s="1" t="s">
        <v>4279</v>
      </c>
      <c r="N970" s="1">
        <v>1648.8</v>
      </c>
      <c r="O970" s="1">
        <f>(ordersTable[[#This Row],[Quantity]]*ordersTable[[#This Row],[UnitPrice]])-ordersTable[[#This Row],[TotalPrice]]</f>
        <v>0</v>
      </c>
    </row>
    <row r="971" spans="1:15" x14ac:dyDescent="0.3">
      <c r="A971" s="1" t="s">
        <v>983</v>
      </c>
      <c r="B971" s="2">
        <v>45813</v>
      </c>
      <c r="C971" s="3" t="s">
        <v>2176</v>
      </c>
      <c r="D971" s="1" t="s">
        <v>2409</v>
      </c>
      <c r="E971" s="5">
        <v>1</v>
      </c>
      <c r="F971" s="4">
        <v>440.34</v>
      </c>
      <c r="G971" s="1" t="s">
        <v>2991</v>
      </c>
      <c r="H971" s="1" t="s">
        <v>3068</v>
      </c>
      <c r="I971" s="1" t="s">
        <v>3070</v>
      </c>
      <c r="J971" s="1" t="s">
        <v>4044</v>
      </c>
      <c r="K971" s="1">
        <v>2</v>
      </c>
      <c r="L971" s="1" t="s">
        <v>4277</v>
      </c>
      <c r="M971" s="1" t="s">
        <v>4281</v>
      </c>
      <c r="N971" s="1">
        <v>440.34</v>
      </c>
      <c r="O971" s="1">
        <f>(ordersTable[[#This Row],[Quantity]]*ordersTable[[#This Row],[UnitPrice]])-ordersTable[[#This Row],[TotalPrice]]</f>
        <v>0</v>
      </c>
    </row>
    <row r="972" spans="1:15" x14ac:dyDescent="0.3">
      <c r="A972" s="1" t="s">
        <v>984</v>
      </c>
      <c r="B972" s="2">
        <v>45542</v>
      </c>
      <c r="C972" s="3" t="s">
        <v>2177</v>
      </c>
      <c r="D972" s="1" t="s">
        <v>2409</v>
      </c>
      <c r="E972" s="5">
        <v>1</v>
      </c>
      <c r="F972" s="4">
        <v>627.15</v>
      </c>
      <c r="G972" s="1" t="s">
        <v>2992</v>
      </c>
      <c r="H972" s="1" t="s">
        <v>3069</v>
      </c>
      <c r="I972" s="1" t="s">
        <v>3073</v>
      </c>
      <c r="J972" s="1" t="s">
        <v>4045</v>
      </c>
      <c r="K972" s="1">
        <v>5</v>
      </c>
      <c r="L972" s="1" t="s">
        <v>4275</v>
      </c>
      <c r="M972" s="1" t="s">
        <v>4278</v>
      </c>
      <c r="N972" s="1">
        <v>627.15</v>
      </c>
      <c r="O972" s="1">
        <f>(ordersTable[[#This Row],[Quantity]]*ordersTable[[#This Row],[UnitPrice]])-ordersTable[[#This Row],[TotalPrice]]</f>
        <v>0</v>
      </c>
    </row>
    <row r="973" spans="1:15" x14ac:dyDescent="0.3">
      <c r="A973" s="1" t="s">
        <v>985</v>
      </c>
      <c r="B973" s="2">
        <v>45439</v>
      </c>
      <c r="C973" s="3" t="s">
        <v>2178</v>
      </c>
      <c r="D973" s="1" t="s">
        <v>2403</v>
      </c>
      <c r="E973" s="5">
        <v>2</v>
      </c>
      <c r="F973" s="4">
        <v>605.26</v>
      </c>
      <c r="G973" s="1" t="s">
        <v>2415</v>
      </c>
      <c r="H973" s="1" t="s">
        <v>3069</v>
      </c>
      <c r="I973" s="1" t="s">
        <v>3071</v>
      </c>
      <c r="J973" s="1" t="s">
        <v>4046</v>
      </c>
      <c r="K973" s="1">
        <v>4</v>
      </c>
      <c r="L973" s="1" t="s">
        <v>4277</v>
      </c>
      <c r="M973" s="1" t="s">
        <v>4279</v>
      </c>
      <c r="N973" s="1">
        <v>1210.52</v>
      </c>
      <c r="O973" s="1">
        <f>(ordersTable[[#This Row],[Quantity]]*ordersTable[[#This Row],[UnitPrice]])-ordersTable[[#This Row],[TotalPrice]]</f>
        <v>0</v>
      </c>
    </row>
    <row r="974" spans="1:15" x14ac:dyDescent="0.3">
      <c r="A974" s="1" t="s">
        <v>986</v>
      </c>
      <c r="B974" s="2">
        <v>45452</v>
      </c>
      <c r="C974" s="3" t="s">
        <v>2179</v>
      </c>
      <c r="D974" s="1" t="s">
        <v>2408</v>
      </c>
      <c r="E974" s="5">
        <v>1</v>
      </c>
      <c r="F974" s="4">
        <v>90.27</v>
      </c>
      <c r="G974" s="1" t="s">
        <v>2993</v>
      </c>
      <c r="H974" s="1" t="s">
        <v>3069</v>
      </c>
      <c r="I974" s="1" t="s">
        <v>3073</v>
      </c>
      <c r="J974" s="1" t="s">
        <v>4047</v>
      </c>
      <c r="K974" s="1">
        <v>5</v>
      </c>
      <c r="L974" s="1" t="s">
        <v>4275</v>
      </c>
      <c r="M974" s="1" t="s">
        <v>4281</v>
      </c>
      <c r="N974" s="1">
        <v>90.27</v>
      </c>
      <c r="O974" s="1">
        <f>(ordersTable[[#This Row],[Quantity]]*ordersTable[[#This Row],[UnitPrice]])-ordersTable[[#This Row],[TotalPrice]]</f>
        <v>0</v>
      </c>
    </row>
    <row r="975" spans="1:15" x14ac:dyDescent="0.3">
      <c r="A975" s="1" t="s">
        <v>987</v>
      </c>
      <c r="B975" s="2">
        <v>45817</v>
      </c>
      <c r="C975" s="3" t="s">
        <v>2180</v>
      </c>
      <c r="D975" s="1" t="s">
        <v>2409</v>
      </c>
      <c r="E975" s="5">
        <v>5</v>
      </c>
      <c r="F975" s="4">
        <v>230.77</v>
      </c>
      <c r="G975" s="1" t="s">
        <v>2977</v>
      </c>
      <c r="H975" s="1" t="s">
        <v>3066</v>
      </c>
      <c r="I975" s="1" t="s">
        <v>3074</v>
      </c>
      <c r="J975" s="1" t="s">
        <v>4048</v>
      </c>
      <c r="K975" s="1">
        <v>10</v>
      </c>
      <c r="L975" s="1" t="s">
        <v>4277</v>
      </c>
      <c r="M975" s="1" t="s">
        <v>4279</v>
      </c>
      <c r="N975" s="1">
        <v>1153.8499999999999</v>
      </c>
      <c r="O975" s="1">
        <f>(ordersTable[[#This Row],[Quantity]]*ordersTable[[#This Row],[UnitPrice]])-ordersTable[[#This Row],[TotalPrice]]</f>
        <v>0</v>
      </c>
    </row>
    <row r="976" spans="1:15" x14ac:dyDescent="0.3">
      <c r="A976" s="1" t="s">
        <v>988</v>
      </c>
      <c r="B976" s="2">
        <v>45196</v>
      </c>
      <c r="C976" s="3" t="s">
        <v>2181</v>
      </c>
      <c r="D976" s="1" t="s">
        <v>2409</v>
      </c>
      <c r="E976" s="5">
        <v>5</v>
      </c>
      <c r="F976" s="4">
        <v>266.77999999999997</v>
      </c>
      <c r="G976" s="1" t="s">
        <v>2673</v>
      </c>
      <c r="H976" s="1" t="s">
        <v>3068</v>
      </c>
      <c r="I976" s="1" t="s">
        <v>3071</v>
      </c>
      <c r="J976" s="1" t="s">
        <v>4049</v>
      </c>
      <c r="K976" s="1">
        <v>5</v>
      </c>
      <c r="M976" s="1" t="s">
        <v>4280</v>
      </c>
      <c r="N976" s="1">
        <v>1333.9</v>
      </c>
      <c r="O976" s="1">
        <f>(ordersTable[[#This Row],[Quantity]]*ordersTable[[#This Row],[UnitPrice]])-ordersTable[[#This Row],[TotalPrice]]</f>
        <v>0</v>
      </c>
    </row>
    <row r="977" spans="1:15" x14ac:dyDescent="0.3">
      <c r="A977" s="1" t="s">
        <v>989</v>
      </c>
      <c r="B977" s="2">
        <v>45064</v>
      </c>
      <c r="C977" s="3" t="s">
        <v>2182</v>
      </c>
      <c r="D977" s="1" t="s">
        <v>2409</v>
      </c>
      <c r="E977" s="5">
        <v>1</v>
      </c>
      <c r="F977" s="4">
        <v>105.92</v>
      </c>
      <c r="G977" s="1" t="s">
        <v>2643</v>
      </c>
      <c r="H977" s="1" t="s">
        <v>3068</v>
      </c>
      <c r="I977" s="1" t="s">
        <v>3072</v>
      </c>
      <c r="J977" s="1" t="s">
        <v>4050</v>
      </c>
      <c r="K977" s="1">
        <v>6</v>
      </c>
      <c r="L977" s="1" t="s">
        <v>4275</v>
      </c>
      <c r="M977" s="1" t="s">
        <v>4280</v>
      </c>
      <c r="N977" s="1">
        <v>105.92</v>
      </c>
      <c r="O977" s="1">
        <f>(ordersTable[[#This Row],[Quantity]]*ordersTable[[#This Row],[UnitPrice]])-ordersTable[[#This Row],[TotalPrice]]</f>
        <v>0</v>
      </c>
    </row>
    <row r="978" spans="1:15" x14ac:dyDescent="0.3">
      <c r="A978" s="1" t="s">
        <v>990</v>
      </c>
      <c r="B978" s="2">
        <v>45386</v>
      </c>
      <c r="C978" s="3" t="s">
        <v>2183</v>
      </c>
      <c r="D978" s="1" t="s">
        <v>2405</v>
      </c>
      <c r="E978" s="5">
        <v>3</v>
      </c>
      <c r="F978" s="4">
        <v>589.29999999999995</v>
      </c>
      <c r="G978" s="1" t="s">
        <v>2941</v>
      </c>
      <c r="H978" s="1" t="s">
        <v>3067</v>
      </c>
      <c r="I978" s="1" t="s">
        <v>3072</v>
      </c>
      <c r="J978" s="1" t="s">
        <v>4051</v>
      </c>
      <c r="K978" s="1">
        <v>6</v>
      </c>
      <c r="L978" s="1" t="s">
        <v>4277</v>
      </c>
      <c r="M978" s="1" t="s">
        <v>4279</v>
      </c>
      <c r="N978" s="1">
        <v>1767.9</v>
      </c>
      <c r="O978" s="1">
        <f>(ordersTable[[#This Row],[Quantity]]*ordersTable[[#This Row],[UnitPrice]])-ordersTable[[#This Row],[TotalPrice]]</f>
        <v>0</v>
      </c>
    </row>
    <row r="979" spans="1:15" x14ac:dyDescent="0.3">
      <c r="A979" s="1" t="s">
        <v>991</v>
      </c>
      <c r="B979" s="2">
        <v>44954</v>
      </c>
      <c r="C979" s="3" t="s">
        <v>2184</v>
      </c>
      <c r="D979" s="1" t="s">
        <v>2406</v>
      </c>
      <c r="E979" s="5">
        <v>4</v>
      </c>
      <c r="F979" s="4">
        <v>649.47</v>
      </c>
      <c r="G979" s="1" t="s">
        <v>2994</v>
      </c>
      <c r="H979" s="1" t="s">
        <v>3069</v>
      </c>
      <c r="I979" s="1" t="s">
        <v>3074</v>
      </c>
      <c r="J979" s="1" t="s">
        <v>4052</v>
      </c>
      <c r="K979" s="1">
        <v>8</v>
      </c>
      <c r="L979" s="1" t="s">
        <v>4275</v>
      </c>
      <c r="M979" s="1" t="s">
        <v>4282</v>
      </c>
      <c r="N979" s="1">
        <v>2597.88</v>
      </c>
      <c r="O979" s="1">
        <f>(ordersTable[[#This Row],[Quantity]]*ordersTable[[#This Row],[UnitPrice]])-ordersTable[[#This Row],[TotalPrice]]</f>
        <v>0</v>
      </c>
    </row>
    <row r="980" spans="1:15" x14ac:dyDescent="0.3">
      <c r="A980" s="1" t="s">
        <v>992</v>
      </c>
      <c r="B980" s="2">
        <v>45468</v>
      </c>
      <c r="C980" s="3" t="s">
        <v>2185</v>
      </c>
      <c r="D980" s="1" t="s">
        <v>2407</v>
      </c>
      <c r="E980" s="5">
        <v>4</v>
      </c>
      <c r="F980" s="4">
        <v>107.49</v>
      </c>
      <c r="G980" s="1" t="s">
        <v>2887</v>
      </c>
      <c r="H980" s="1" t="s">
        <v>3069</v>
      </c>
      <c r="I980" s="1" t="s">
        <v>3073</v>
      </c>
      <c r="J980" s="1" t="s">
        <v>4053</v>
      </c>
      <c r="K980" s="1">
        <v>5</v>
      </c>
      <c r="M980" s="1" t="s">
        <v>4282</v>
      </c>
      <c r="N980" s="1">
        <v>429.96</v>
      </c>
      <c r="O980" s="1">
        <f>(ordersTable[[#This Row],[Quantity]]*ordersTable[[#This Row],[UnitPrice]])-ordersTable[[#This Row],[TotalPrice]]</f>
        <v>0</v>
      </c>
    </row>
    <row r="981" spans="1:15" x14ac:dyDescent="0.3">
      <c r="A981" s="1" t="s">
        <v>993</v>
      </c>
      <c r="B981" s="2">
        <v>45077</v>
      </c>
      <c r="C981" s="3" t="s">
        <v>2186</v>
      </c>
      <c r="D981" s="1" t="s">
        <v>2403</v>
      </c>
      <c r="E981" s="5">
        <v>3</v>
      </c>
      <c r="F981" s="4">
        <v>669.06</v>
      </c>
      <c r="G981" s="1" t="s">
        <v>2648</v>
      </c>
      <c r="H981" s="1" t="s">
        <v>3069</v>
      </c>
      <c r="I981" s="1" t="s">
        <v>3073</v>
      </c>
      <c r="J981" s="1" t="s">
        <v>4054</v>
      </c>
      <c r="K981" s="1">
        <v>7</v>
      </c>
      <c r="L981" s="1" t="s">
        <v>4275</v>
      </c>
      <c r="M981" s="1" t="s">
        <v>4281</v>
      </c>
      <c r="N981" s="1">
        <v>2007.18</v>
      </c>
      <c r="O981" s="1">
        <f>(ordersTable[[#This Row],[Quantity]]*ordersTable[[#This Row],[UnitPrice]])-ordersTable[[#This Row],[TotalPrice]]</f>
        <v>0</v>
      </c>
    </row>
    <row r="982" spans="1:15" x14ac:dyDescent="0.3">
      <c r="A982" s="1" t="s">
        <v>994</v>
      </c>
      <c r="B982" s="2">
        <v>45213</v>
      </c>
      <c r="C982" s="3" t="s">
        <v>2187</v>
      </c>
      <c r="D982" s="1" t="s">
        <v>2406</v>
      </c>
      <c r="E982" s="5">
        <v>3</v>
      </c>
      <c r="F982" s="4">
        <v>69.650000000000006</v>
      </c>
      <c r="G982" s="1" t="s">
        <v>2995</v>
      </c>
      <c r="H982" s="1" t="s">
        <v>3069</v>
      </c>
      <c r="I982" s="1" t="s">
        <v>3073</v>
      </c>
      <c r="J982" s="1" t="s">
        <v>4055</v>
      </c>
      <c r="K982" s="1">
        <v>7</v>
      </c>
      <c r="L982" s="1" t="s">
        <v>4277</v>
      </c>
      <c r="M982" s="1" t="s">
        <v>4278</v>
      </c>
      <c r="N982" s="1">
        <v>208.95</v>
      </c>
      <c r="O982" s="1">
        <f>(ordersTable[[#This Row],[Quantity]]*ordersTable[[#This Row],[UnitPrice]])-ordersTable[[#This Row],[TotalPrice]]</f>
        <v>0</v>
      </c>
    </row>
    <row r="983" spans="1:15" x14ac:dyDescent="0.3">
      <c r="A983" s="1" t="s">
        <v>995</v>
      </c>
      <c r="B983" s="2">
        <v>45256</v>
      </c>
      <c r="C983" s="3" t="s">
        <v>2188</v>
      </c>
      <c r="D983" s="1" t="s">
        <v>2404</v>
      </c>
      <c r="E983" s="5">
        <v>4</v>
      </c>
      <c r="F983" s="4">
        <v>136.83000000000001</v>
      </c>
      <c r="G983" s="1" t="s">
        <v>2996</v>
      </c>
      <c r="H983" s="1" t="s">
        <v>3065</v>
      </c>
      <c r="I983" s="1" t="s">
        <v>3074</v>
      </c>
      <c r="J983" s="1" t="s">
        <v>4056</v>
      </c>
      <c r="K983" s="1">
        <v>8</v>
      </c>
      <c r="L983" s="1" t="s">
        <v>4275</v>
      </c>
      <c r="M983" s="1" t="s">
        <v>4280</v>
      </c>
      <c r="N983" s="1">
        <v>547.32000000000005</v>
      </c>
      <c r="O983" s="1">
        <f>(ordersTable[[#This Row],[Quantity]]*ordersTable[[#This Row],[UnitPrice]])-ordersTable[[#This Row],[TotalPrice]]</f>
        <v>0</v>
      </c>
    </row>
    <row r="984" spans="1:15" x14ac:dyDescent="0.3">
      <c r="A984" s="1" t="s">
        <v>996</v>
      </c>
      <c r="B984" s="2">
        <v>45541</v>
      </c>
      <c r="C984" s="3" t="s">
        <v>2189</v>
      </c>
      <c r="D984" s="1" t="s">
        <v>2403</v>
      </c>
      <c r="E984" s="5">
        <v>1</v>
      </c>
      <c r="F984" s="4">
        <v>304.11</v>
      </c>
      <c r="G984" s="1" t="s">
        <v>2889</v>
      </c>
      <c r="H984" s="1" t="s">
        <v>3068</v>
      </c>
      <c r="I984" s="1" t="s">
        <v>3070</v>
      </c>
      <c r="J984" s="1" t="s">
        <v>4057</v>
      </c>
      <c r="K984" s="1">
        <v>2</v>
      </c>
      <c r="L984" s="1" t="s">
        <v>4275</v>
      </c>
      <c r="M984" s="1" t="s">
        <v>4279</v>
      </c>
      <c r="N984" s="1">
        <v>304.11</v>
      </c>
      <c r="O984" s="1">
        <f>(ordersTable[[#This Row],[Quantity]]*ordersTable[[#This Row],[UnitPrice]])-ordersTable[[#This Row],[TotalPrice]]</f>
        <v>0</v>
      </c>
    </row>
    <row r="985" spans="1:15" x14ac:dyDescent="0.3">
      <c r="A985" s="1" t="s">
        <v>997</v>
      </c>
      <c r="B985" s="2">
        <v>45620</v>
      </c>
      <c r="C985" s="3" t="s">
        <v>2190</v>
      </c>
      <c r="D985" s="1" t="s">
        <v>2403</v>
      </c>
      <c r="E985" s="5">
        <v>4</v>
      </c>
      <c r="F985" s="4">
        <v>296.27999999999997</v>
      </c>
      <c r="G985" s="1" t="s">
        <v>2997</v>
      </c>
      <c r="H985" s="1" t="s">
        <v>3068</v>
      </c>
      <c r="I985" s="1" t="s">
        <v>3070</v>
      </c>
      <c r="J985" s="1" t="s">
        <v>4058</v>
      </c>
      <c r="K985" s="1">
        <v>5</v>
      </c>
      <c r="L985" s="1" t="s">
        <v>4275</v>
      </c>
      <c r="M985" s="1" t="s">
        <v>4280</v>
      </c>
      <c r="N985" s="1">
        <v>1185.1199999999999</v>
      </c>
      <c r="O985" s="1">
        <f>(ordersTable[[#This Row],[Quantity]]*ordersTable[[#This Row],[UnitPrice]])-ordersTable[[#This Row],[TotalPrice]]</f>
        <v>0</v>
      </c>
    </row>
    <row r="986" spans="1:15" x14ac:dyDescent="0.3">
      <c r="A986" s="1" t="s">
        <v>998</v>
      </c>
      <c r="B986" s="2">
        <v>45716</v>
      </c>
      <c r="C986" s="3" t="s">
        <v>2191</v>
      </c>
      <c r="D986" s="1" t="s">
        <v>2409</v>
      </c>
      <c r="E986" s="5">
        <v>1</v>
      </c>
      <c r="F986" s="4">
        <v>77.64</v>
      </c>
      <c r="G986" s="1" t="s">
        <v>2417</v>
      </c>
      <c r="H986" s="1" t="s">
        <v>3067</v>
      </c>
      <c r="I986" s="1" t="s">
        <v>3070</v>
      </c>
      <c r="J986" s="1" t="s">
        <v>4059</v>
      </c>
      <c r="K986" s="1">
        <v>1</v>
      </c>
      <c r="L986" s="1" t="s">
        <v>4276</v>
      </c>
      <c r="M986" s="1" t="s">
        <v>4281</v>
      </c>
      <c r="N986" s="1">
        <v>77.64</v>
      </c>
      <c r="O986" s="1">
        <f>(ordersTable[[#This Row],[Quantity]]*ordersTable[[#This Row],[UnitPrice]])-ordersTable[[#This Row],[TotalPrice]]</f>
        <v>0</v>
      </c>
    </row>
    <row r="987" spans="1:15" x14ac:dyDescent="0.3">
      <c r="A987" s="1" t="s">
        <v>999</v>
      </c>
      <c r="B987" s="2">
        <v>45493</v>
      </c>
      <c r="C987" s="3" t="s">
        <v>2192</v>
      </c>
      <c r="D987" s="1" t="s">
        <v>2409</v>
      </c>
      <c r="E987" s="5">
        <v>1</v>
      </c>
      <c r="F987" s="4">
        <v>243.71</v>
      </c>
      <c r="G987" s="1" t="s">
        <v>2608</v>
      </c>
      <c r="H987" s="1" t="s">
        <v>3068</v>
      </c>
      <c r="I987" s="1" t="s">
        <v>3073</v>
      </c>
      <c r="J987" s="1" t="s">
        <v>4060</v>
      </c>
      <c r="K987" s="1">
        <v>6</v>
      </c>
      <c r="L987" s="1" t="s">
        <v>4275</v>
      </c>
      <c r="M987" s="1" t="s">
        <v>4282</v>
      </c>
      <c r="N987" s="1">
        <v>243.71</v>
      </c>
      <c r="O987" s="1">
        <f>(ordersTable[[#This Row],[Quantity]]*ordersTable[[#This Row],[UnitPrice]])-ordersTable[[#This Row],[TotalPrice]]</f>
        <v>0</v>
      </c>
    </row>
    <row r="988" spans="1:15" x14ac:dyDescent="0.3">
      <c r="A988" s="1" t="s">
        <v>1000</v>
      </c>
      <c r="B988" s="2">
        <v>45542</v>
      </c>
      <c r="C988" s="3" t="s">
        <v>2193</v>
      </c>
      <c r="D988" s="1" t="s">
        <v>2408</v>
      </c>
      <c r="E988" s="5">
        <v>4</v>
      </c>
      <c r="F988" s="4">
        <v>644.96</v>
      </c>
      <c r="G988" s="1" t="s">
        <v>2501</v>
      </c>
      <c r="H988" s="1" t="s">
        <v>3067</v>
      </c>
      <c r="I988" s="1" t="s">
        <v>3074</v>
      </c>
      <c r="J988" s="1" t="s">
        <v>4061</v>
      </c>
      <c r="K988" s="1">
        <v>7</v>
      </c>
      <c r="L988" s="1" t="s">
        <v>4276</v>
      </c>
      <c r="M988" s="1" t="s">
        <v>4280</v>
      </c>
      <c r="N988" s="1">
        <v>2579.84</v>
      </c>
      <c r="O988" s="1">
        <f>(ordersTable[[#This Row],[Quantity]]*ordersTable[[#This Row],[UnitPrice]])-ordersTable[[#This Row],[TotalPrice]]</f>
        <v>0</v>
      </c>
    </row>
    <row r="989" spans="1:15" x14ac:dyDescent="0.3">
      <c r="A989" s="1" t="s">
        <v>1001</v>
      </c>
      <c r="B989" s="2">
        <v>45813</v>
      </c>
      <c r="C989" s="3" t="s">
        <v>2194</v>
      </c>
      <c r="D989" s="1" t="s">
        <v>2404</v>
      </c>
      <c r="E989" s="5">
        <v>5</v>
      </c>
      <c r="F989" s="4">
        <v>283.73</v>
      </c>
      <c r="G989" s="1" t="s">
        <v>2752</v>
      </c>
      <c r="H989" s="1" t="s">
        <v>3068</v>
      </c>
      <c r="I989" s="1" t="s">
        <v>3074</v>
      </c>
      <c r="J989" s="1" t="s">
        <v>4062</v>
      </c>
      <c r="K989" s="1">
        <v>8</v>
      </c>
      <c r="L989" s="1" t="s">
        <v>4276</v>
      </c>
      <c r="M989" s="1" t="s">
        <v>4278</v>
      </c>
      <c r="N989" s="1">
        <v>1418.65</v>
      </c>
      <c r="O989" s="1">
        <f>(ordersTable[[#This Row],[Quantity]]*ordersTable[[#This Row],[UnitPrice]])-ordersTable[[#This Row],[TotalPrice]]</f>
        <v>0</v>
      </c>
    </row>
    <row r="990" spans="1:15" x14ac:dyDescent="0.3">
      <c r="A990" s="1" t="s">
        <v>1002</v>
      </c>
      <c r="B990" s="2">
        <v>45692</v>
      </c>
      <c r="C990" s="3" t="s">
        <v>2195</v>
      </c>
      <c r="D990" s="1" t="s">
        <v>2409</v>
      </c>
      <c r="E990" s="5">
        <v>2</v>
      </c>
      <c r="F990" s="4">
        <v>629.55999999999995</v>
      </c>
      <c r="G990" s="1" t="s">
        <v>2687</v>
      </c>
      <c r="H990" s="1" t="s">
        <v>3068</v>
      </c>
      <c r="I990" s="1" t="s">
        <v>3071</v>
      </c>
      <c r="J990" s="1" t="s">
        <v>4063</v>
      </c>
      <c r="K990" s="1">
        <v>5</v>
      </c>
      <c r="L990" s="1" t="s">
        <v>4277</v>
      </c>
      <c r="M990" s="1" t="s">
        <v>4278</v>
      </c>
      <c r="N990" s="1">
        <v>1259.1199999999999</v>
      </c>
      <c r="O990" s="1">
        <f>(ordersTable[[#This Row],[Quantity]]*ordersTable[[#This Row],[UnitPrice]])-ordersTable[[#This Row],[TotalPrice]]</f>
        <v>0</v>
      </c>
    </row>
    <row r="991" spans="1:15" x14ac:dyDescent="0.3">
      <c r="A991" s="1" t="s">
        <v>1003</v>
      </c>
      <c r="B991" s="2">
        <v>45008</v>
      </c>
      <c r="C991" s="3" t="s">
        <v>2196</v>
      </c>
      <c r="D991" s="1" t="s">
        <v>2408</v>
      </c>
      <c r="E991" s="5">
        <v>4</v>
      </c>
      <c r="F991" s="4">
        <v>246.11</v>
      </c>
      <c r="G991" s="1" t="s">
        <v>2998</v>
      </c>
      <c r="H991" s="1" t="s">
        <v>3067</v>
      </c>
      <c r="I991" s="1" t="s">
        <v>3074</v>
      </c>
      <c r="J991" s="1" t="s">
        <v>4064</v>
      </c>
      <c r="K991" s="1">
        <v>4</v>
      </c>
      <c r="L991" s="1" t="s">
        <v>4275</v>
      </c>
      <c r="M991" s="1" t="s">
        <v>4278</v>
      </c>
      <c r="N991" s="1">
        <v>984.44</v>
      </c>
      <c r="O991" s="1">
        <f>(ordersTable[[#This Row],[Quantity]]*ordersTable[[#This Row],[UnitPrice]])-ordersTable[[#This Row],[TotalPrice]]</f>
        <v>0</v>
      </c>
    </row>
    <row r="992" spans="1:15" x14ac:dyDescent="0.3">
      <c r="A992" s="1" t="s">
        <v>1004</v>
      </c>
      <c r="B992" s="2">
        <v>45249</v>
      </c>
      <c r="C992" s="3" t="s">
        <v>2197</v>
      </c>
      <c r="D992" s="1" t="s">
        <v>2404</v>
      </c>
      <c r="E992" s="5">
        <v>2</v>
      </c>
      <c r="F992" s="4">
        <v>418.26</v>
      </c>
      <c r="G992" s="1" t="s">
        <v>2999</v>
      </c>
      <c r="H992" s="1" t="s">
        <v>3065</v>
      </c>
      <c r="I992" s="1" t="s">
        <v>3074</v>
      </c>
      <c r="J992" s="1" t="s">
        <v>4065</v>
      </c>
      <c r="K992" s="1">
        <v>2</v>
      </c>
      <c r="L992" s="1" t="s">
        <v>4275</v>
      </c>
      <c r="M992" s="1" t="s">
        <v>4282</v>
      </c>
      <c r="N992" s="1">
        <v>836.52</v>
      </c>
      <c r="O992" s="1">
        <f>(ordersTable[[#This Row],[Quantity]]*ordersTable[[#This Row],[UnitPrice]])-ordersTable[[#This Row],[TotalPrice]]</f>
        <v>0</v>
      </c>
    </row>
    <row r="993" spans="1:15" x14ac:dyDescent="0.3">
      <c r="A993" s="1" t="s">
        <v>1005</v>
      </c>
      <c r="B993" s="2">
        <v>45421</v>
      </c>
      <c r="C993" s="3" t="s">
        <v>2198</v>
      </c>
      <c r="D993" s="1" t="s">
        <v>2409</v>
      </c>
      <c r="E993" s="5">
        <v>5</v>
      </c>
      <c r="F993" s="4">
        <v>127.18</v>
      </c>
      <c r="G993" s="1" t="s">
        <v>2538</v>
      </c>
      <c r="H993" s="1" t="s">
        <v>3065</v>
      </c>
      <c r="I993" s="1" t="s">
        <v>3071</v>
      </c>
      <c r="J993" s="1" t="s">
        <v>4066</v>
      </c>
      <c r="K993" s="1">
        <v>10</v>
      </c>
      <c r="L993" s="1" t="s">
        <v>4276</v>
      </c>
      <c r="M993" s="1" t="s">
        <v>4282</v>
      </c>
      <c r="N993" s="1">
        <v>635.90000000000009</v>
      </c>
      <c r="O993" s="1">
        <f>(ordersTable[[#This Row],[Quantity]]*ordersTable[[#This Row],[UnitPrice]])-ordersTable[[#This Row],[TotalPrice]]</f>
        <v>0</v>
      </c>
    </row>
    <row r="994" spans="1:15" x14ac:dyDescent="0.3">
      <c r="A994" s="1" t="s">
        <v>1006</v>
      </c>
      <c r="B994" s="2">
        <v>45531</v>
      </c>
      <c r="C994" s="3" t="s">
        <v>2199</v>
      </c>
      <c r="D994" s="1" t="s">
        <v>2407</v>
      </c>
      <c r="E994" s="5">
        <v>3</v>
      </c>
      <c r="F994" s="4">
        <v>586.21</v>
      </c>
      <c r="G994" s="1" t="s">
        <v>2543</v>
      </c>
      <c r="H994" s="1" t="s">
        <v>3068</v>
      </c>
      <c r="I994" s="1" t="s">
        <v>3074</v>
      </c>
      <c r="J994" s="1" t="s">
        <v>4067</v>
      </c>
      <c r="K994" s="1">
        <v>4</v>
      </c>
      <c r="L994" s="1" t="s">
        <v>4277</v>
      </c>
      <c r="M994" s="1" t="s">
        <v>4279</v>
      </c>
      <c r="N994" s="1">
        <v>1758.63</v>
      </c>
      <c r="O994" s="1">
        <f>(ordersTable[[#This Row],[Quantity]]*ordersTable[[#This Row],[UnitPrice]])-ordersTable[[#This Row],[TotalPrice]]</f>
        <v>0</v>
      </c>
    </row>
    <row r="995" spans="1:15" x14ac:dyDescent="0.3">
      <c r="A995" s="1" t="s">
        <v>1007</v>
      </c>
      <c r="B995" s="2">
        <v>45388</v>
      </c>
      <c r="C995" s="3" t="s">
        <v>2200</v>
      </c>
      <c r="D995" s="1" t="s">
        <v>2403</v>
      </c>
      <c r="E995" s="5">
        <v>3</v>
      </c>
      <c r="F995" s="4">
        <v>267.45</v>
      </c>
      <c r="G995" s="1" t="s">
        <v>3000</v>
      </c>
      <c r="H995" s="1" t="s">
        <v>3068</v>
      </c>
      <c r="I995" s="1" t="s">
        <v>3073</v>
      </c>
      <c r="J995" s="1" t="s">
        <v>4068</v>
      </c>
      <c r="K995" s="1">
        <v>5</v>
      </c>
      <c r="L995" s="1" t="s">
        <v>4277</v>
      </c>
      <c r="M995" s="1" t="s">
        <v>4278</v>
      </c>
      <c r="N995" s="1">
        <v>802.34999999999991</v>
      </c>
      <c r="O995" s="1">
        <f>(ordersTable[[#This Row],[Quantity]]*ordersTable[[#This Row],[UnitPrice]])-ordersTable[[#This Row],[TotalPrice]]</f>
        <v>0</v>
      </c>
    </row>
    <row r="996" spans="1:15" x14ac:dyDescent="0.3">
      <c r="A996" s="1" t="s">
        <v>1008</v>
      </c>
      <c r="B996" s="2">
        <v>45470</v>
      </c>
      <c r="C996" s="3" t="s">
        <v>2201</v>
      </c>
      <c r="D996" s="1" t="s">
        <v>2405</v>
      </c>
      <c r="E996" s="5">
        <v>4</v>
      </c>
      <c r="F996" s="4">
        <v>615.65</v>
      </c>
      <c r="G996" s="1" t="s">
        <v>2486</v>
      </c>
      <c r="H996" s="1" t="s">
        <v>3065</v>
      </c>
      <c r="I996" s="1" t="s">
        <v>3073</v>
      </c>
      <c r="J996" s="1" t="s">
        <v>4069</v>
      </c>
      <c r="K996" s="1">
        <v>9</v>
      </c>
      <c r="L996" s="1" t="s">
        <v>4277</v>
      </c>
      <c r="M996" s="1" t="s">
        <v>4282</v>
      </c>
      <c r="N996" s="1">
        <v>2462.6</v>
      </c>
      <c r="O996" s="1">
        <f>(ordersTable[[#This Row],[Quantity]]*ordersTable[[#This Row],[UnitPrice]])-ordersTable[[#This Row],[TotalPrice]]</f>
        <v>0</v>
      </c>
    </row>
    <row r="997" spans="1:15" x14ac:dyDescent="0.3">
      <c r="A997" s="1" t="s">
        <v>1009</v>
      </c>
      <c r="B997" s="2">
        <v>45248</v>
      </c>
      <c r="C997" s="3" t="s">
        <v>2202</v>
      </c>
      <c r="D997" s="1" t="s">
        <v>2403</v>
      </c>
      <c r="E997" s="5">
        <v>2</v>
      </c>
      <c r="F997" s="4">
        <v>113.29</v>
      </c>
      <c r="G997" s="1" t="s">
        <v>2801</v>
      </c>
      <c r="H997" s="1" t="s">
        <v>3069</v>
      </c>
      <c r="I997" s="1" t="s">
        <v>3074</v>
      </c>
      <c r="J997" s="1" t="s">
        <v>4070</v>
      </c>
      <c r="K997" s="1">
        <v>5</v>
      </c>
      <c r="L997" s="1" t="s">
        <v>4275</v>
      </c>
      <c r="M997" s="1" t="s">
        <v>4281</v>
      </c>
      <c r="N997" s="1">
        <v>226.58</v>
      </c>
      <c r="O997" s="1">
        <f>(ordersTable[[#This Row],[Quantity]]*ordersTable[[#This Row],[UnitPrice]])-ordersTable[[#This Row],[TotalPrice]]</f>
        <v>0</v>
      </c>
    </row>
    <row r="998" spans="1:15" x14ac:dyDescent="0.3">
      <c r="A998" s="1" t="s">
        <v>1010</v>
      </c>
      <c r="B998" s="2">
        <v>45410</v>
      </c>
      <c r="C998" s="3" t="s">
        <v>2203</v>
      </c>
      <c r="D998" s="1" t="s">
        <v>2403</v>
      </c>
      <c r="E998" s="5">
        <v>4</v>
      </c>
      <c r="F998" s="4">
        <v>473.86</v>
      </c>
      <c r="G998" s="1" t="s">
        <v>2677</v>
      </c>
      <c r="H998" s="1" t="s">
        <v>3065</v>
      </c>
      <c r="I998" s="1" t="s">
        <v>3073</v>
      </c>
      <c r="J998" s="1" t="s">
        <v>4071</v>
      </c>
      <c r="K998" s="1">
        <v>7</v>
      </c>
      <c r="L998" s="1" t="s">
        <v>4275</v>
      </c>
      <c r="M998" s="1" t="s">
        <v>4281</v>
      </c>
      <c r="N998" s="1">
        <v>1895.44</v>
      </c>
      <c r="O998" s="1">
        <f>(ordersTable[[#This Row],[Quantity]]*ordersTable[[#This Row],[UnitPrice]])-ordersTable[[#This Row],[TotalPrice]]</f>
        <v>0</v>
      </c>
    </row>
    <row r="999" spans="1:15" x14ac:dyDescent="0.3">
      <c r="A999" s="1" t="s">
        <v>1011</v>
      </c>
      <c r="B999" s="2">
        <v>45257</v>
      </c>
      <c r="C999" s="3" t="s">
        <v>2204</v>
      </c>
      <c r="D999" s="1" t="s">
        <v>2408</v>
      </c>
      <c r="E999" s="5">
        <v>3</v>
      </c>
      <c r="F999" s="4">
        <v>444.75</v>
      </c>
      <c r="G999" s="1" t="s">
        <v>2795</v>
      </c>
      <c r="H999" s="1" t="s">
        <v>3069</v>
      </c>
      <c r="I999" s="1" t="s">
        <v>3073</v>
      </c>
      <c r="J999" s="1" t="s">
        <v>4072</v>
      </c>
      <c r="K999" s="1">
        <v>6</v>
      </c>
      <c r="L999" s="1" t="s">
        <v>4275</v>
      </c>
      <c r="M999" s="1" t="s">
        <v>4281</v>
      </c>
      <c r="N999" s="1">
        <v>1334.25</v>
      </c>
      <c r="O999" s="1">
        <f>(ordersTable[[#This Row],[Quantity]]*ordersTable[[#This Row],[UnitPrice]])-ordersTable[[#This Row],[TotalPrice]]</f>
        <v>0</v>
      </c>
    </row>
    <row r="1000" spans="1:15" x14ac:dyDescent="0.3">
      <c r="A1000" s="1" t="s">
        <v>1012</v>
      </c>
      <c r="B1000" s="2">
        <v>45065</v>
      </c>
      <c r="C1000" s="3" t="s">
        <v>2205</v>
      </c>
      <c r="D1000" s="1" t="s">
        <v>2404</v>
      </c>
      <c r="E1000" s="5">
        <v>2</v>
      </c>
      <c r="F1000" s="4">
        <v>183.67</v>
      </c>
      <c r="G1000" s="1" t="s">
        <v>2614</v>
      </c>
      <c r="H1000" s="1" t="s">
        <v>3065</v>
      </c>
      <c r="I1000" s="1" t="s">
        <v>3071</v>
      </c>
      <c r="J1000" s="1" t="s">
        <v>4073</v>
      </c>
      <c r="K1000" s="1">
        <v>6</v>
      </c>
      <c r="L1000" s="1" t="s">
        <v>4275</v>
      </c>
      <c r="M1000" s="1" t="s">
        <v>4282</v>
      </c>
      <c r="N1000" s="1">
        <v>367.34</v>
      </c>
      <c r="O1000" s="1">
        <f>(ordersTable[[#This Row],[Quantity]]*ordersTable[[#This Row],[UnitPrice]])-ordersTable[[#This Row],[TotalPrice]]</f>
        <v>0</v>
      </c>
    </row>
    <row r="1001" spans="1:15" x14ac:dyDescent="0.3">
      <c r="A1001" s="1" t="s">
        <v>1013</v>
      </c>
      <c r="B1001" s="2">
        <v>45284</v>
      </c>
      <c r="C1001" s="3" t="s">
        <v>2206</v>
      </c>
      <c r="D1001" s="1" t="s">
        <v>2407</v>
      </c>
      <c r="E1001" s="5">
        <v>1</v>
      </c>
      <c r="F1001" s="4">
        <v>483.38</v>
      </c>
      <c r="G1001" s="1" t="s">
        <v>2741</v>
      </c>
      <c r="H1001" s="1" t="s">
        <v>3069</v>
      </c>
      <c r="I1001" s="1" t="s">
        <v>3074</v>
      </c>
      <c r="J1001" s="1" t="s">
        <v>4074</v>
      </c>
      <c r="K1001" s="1">
        <v>6</v>
      </c>
      <c r="L1001" s="1" t="s">
        <v>4276</v>
      </c>
      <c r="M1001" s="1" t="s">
        <v>4282</v>
      </c>
      <c r="N1001" s="1">
        <v>483.38</v>
      </c>
      <c r="O1001" s="1">
        <f>(ordersTable[[#This Row],[Quantity]]*ordersTable[[#This Row],[UnitPrice]])-ordersTable[[#This Row],[TotalPrice]]</f>
        <v>0</v>
      </c>
    </row>
    <row r="1002" spans="1:15" x14ac:dyDescent="0.3">
      <c r="A1002" s="1" t="s">
        <v>1014</v>
      </c>
      <c r="B1002" s="2">
        <v>45098</v>
      </c>
      <c r="C1002" s="3" t="s">
        <v>2207</v>
      </c>
      <c r="D1002" s="1" t="s">
        <v>2407</v>
      </c>
      <c r="E1002" s="5">
        <v>5</v>
      </c>
      <c r="F1002" s="4">
        <v>260.93</v>
      </c>
      <c r="G1002" s="1" t="s">
        <v>3001</v>
      </c>
      <c r="H1002" s="1" t="s">
        <v>3066</v>
      </c>
      <c r="I1002" s="1" t="s">
        <v>3073</v>
      </c>
      <c r="J1002" s="1" t="s">
        <v>4075</v>
      </c>
      <c r="K1002" s="1">
        <v>9</v>
      </c>
      <c r="L1002" s="1" t="s">
        <v>4275</v>
      </c>
      <c r="M1002" s="1" t="s">
        <v>4280</v>
      </c>
      <c r="N1002" s="1">
        <v>1304.6500000000001</v>
      </c>
      <c r="O1002" s="1">
        <f>(ordersTable[[#This Row],[Quantity]]*ordersTable[[#This Row],[UnitPrice]])-ordersTable[[#This Row],[TotalPrice]]</f>
        <v>0</v>
      </c>
    </row>
    <row r="1003" spans="1:15" x14ac:dyDescent="0.3">
      <c r="A1003" s="1" t="s">
        <v>1015</v>
      </c>
      <c r="B1003" s="2">
        <v>45268</v>
      </c>
      <c r="C1003" s="3" t="s">
        <v>2208</v>
      </c>
      <c r="D1003" s="1" t="s">
        <v>2407</v>
      </c>
      <c r="E1003" s="5">
        <v>2</v>
      </c>
      <c r="F1003" s="4">
        <v>253.68</v>
      </c>
      <c r="G1003" s="1" t="s">
        <v>2518</v>
      </c>
      <c r="H1003" s="1" t="s">
        <v>3068</v>
      </c>
      <c r="I1003" s="1" t="s">
        <v>3070</v>
      </c>
      <c r="J1003" s="1" t="s">
        <v>4076</v>
      </c>
      <c r="K1003" s="1">
        <v>6</v>
      </c>
      <c r="M1003" s="1" t="s">
        <v>4279</v>
      </c>
      <c r="N1003" s="1">
        <v>507.36</v>
      </c>
      <c r="O1003" s="1">
        <f>(ordersTable[[#This Row],[Quantity]]*ordersTable[[#This Row],[UnitPrice]])-ordersTable[[#This Row],[TotalPrice]]</f>
        <v>0</v>
      </c>
    </row>
    <row r="1004" spans="1:15" x14ac:dyDescent="0.3">
      <c r="A1004" s="1" t="s">
        <v>1016</v>
      </c>
      <c r="B1004" s="2">
        <v>45827</v>
      </c>
      <c r="C1004" s="3" t="s">
        <v>2209</v>
      </c>
      <c r="D1004" s="1" t="s">
        <v>2405</v>
      </c>
      <c r="E1004" s="5">
        <v>4</v>
      </c>
      <c r="F1004" s="4">
        <v>699.88</v>
      </c>
      <c r="G1004" s="1" t="s">
        <v>2505</v>
      </c>
      <c r="H1004" s="1" t="s">
        <v>3069</v>
      </c>
      <c r="I1004" s="1" t="s">
        <v>3074</v>
      </c>
      <c r="J1004" s="1" t="s">
        <v>4077</v>
      </c>
      <c r="K1004" s="1">
        <v>5</v>
      </c>
      <c r="L1004" s="1" t="s">
        <v>4277</v>
      </c>
      <c r="M1004" s="1" t="s">
        <v>4279</v>
      </c>
      <c r="N1004" s="1">
        <v>2799.52</v>
      </c>
      <c r="O1004" s="1">
        <f>(ordersTable[[#This Row],[Quantity]]*ordersTable[[#This Row],[UnitPrice]])-ordersTable[[#This Row],[TotalPrice]]</f>
        <v>0</v>
      </c>
    </row>
    <row r="1005" spans="1:15" x14ac:dyDescent="0.3">
      <c r="A1005" s="1" t="s">
        <v>1017</v>
      </c>
      <c r="B1005" s="2">
        <v>44937</v>
      </c>
      <c r="C1005" s="3" t="s">
        <v>2210</v>
      </c>
      <c r="D1005" s="1" t="s">
        <v>2407</v>
      </c>
      <c r="E1005" s="5">
        <v>5</v>
      </c>
      <c r="F1005" s="4">
        <v>319.97000000000003</v>
      </c>
      <c r="G1005" s="1" t="s">
        <v>3001</v>
      </c>
      <c r="H1005" s="1" t="s">
        <v>3069</v>
      </c>
      <c r="I1005" s="1" t="s">
        <v>3070</v>
      </c>
      <c r="J1005" s="1" t="s">
        <v>4078</v>
      </c>
      <c r="K1005" s="1">
        <v>7</v>
      </c>
      <c r="L1005" s="1" t="s">
        <v>4275</v>
      </c>
      <c r="M1005" s="1" t="s">
        <v>4282</v>
      </c>
      <c r="N1005" s="1">
        <v>1599.85</v>
      </c>
      <c r="O1005" s="1">
        <f>(ordersTable[[#This Row],[Quantity]]*ordersTable[[#This Row],[UnitPrice]])-ordersTable[[#This Row],[TotalPrice]]</f>
        <v>0</v>
      </c>
    </row>
    <row r="1006" spans="1:15" x14ac:dyDescent="0.3">
      <c r="A1006" s="1" t="s">
        <v>1018</v>
      </c>
      <c r="B1006" s="2">
        <v>45817</v>
      </c>
      <c r="C1006" s="3" t="s">
        <v>2211</v>
      </c>
      <c r="D1006" s="1" t="s">
        <v>2406</v>
      </c>
      <c r="E1006" s="5">
        <v>4</v>
      </c>
      <c r="F1006" s="4">
        <v>246.91</v>
      </c>
      <c r="G1006" s="1" t="s">
        <v>2436</v>
      </c>
      <c r="H1006" s="1" t="s">
        <v>3066</v>
      </c>
      <c r="I1006" s="1" t="s">
        <v>3074</v>
      </c>
      <c r="J1006" s="1" t="s">
        <v>4079</v>
      </c>
      <c r="K1006" s="1">
        <v>8</v>
      </c>
      <c r="L1006" s="1" t="s">
        <v>4275</v>
      </c>
      <c r="M1006" s="1" t="s">
        <v>4279</v>
      </c>
      <c r="N1006" s="1">
        <v>987.64</v>
      </c>
      <c r="O1006" s="1">
        <f>(ordersTable[[#This Row],[Quantity]]*ordersTable[[#This Row],[UnitPrice]])-ordersTable[[#This Row],[TotalPrice]]</f>
        <v>0</v>
      </c>
    </row>
    <row r="1007" spans="1:15" x14ac:dyDescent="0.3">
      <c r="A1007" s="1" t="s">
        <v>1019</v>
      </c>
      <c r="B1007" s="2">
        <v>44987</v>
      </c>
      <c r="C1007" s="3" t="s">
        <v>2212</v>
      </c>
      <c r="D1007" s="1" t="s">
        <v>2407</v>
      </c>
      <c r="E1007" s="5">
        <v>3</v>
      </c>
      <c r="F1007" s="4">
        <v>392.85</v>
      </c>
      <c r="G1007" s="1" t="s">
        <v>2929</v>
      </c>
      <c r="H1007" s="1" t="s">
        <v>3067</v>
      </c>
      <c r="I1007" s="1" t="s">
        <v>3072</v>
      </c>
      <c r="J1007" s="1" t="s">
        <v>4080</v>
      </c>
      <c r="K1007" s="1">
        <v>6</v>
      </c>
      <c r="M1007" s="1" t="s">
        <v>4282</v>
      </c>
      <c r="N1007" s="1">
        <v>1178.55</v>
      </c>
      <c r="O1007" s="1">
        <f>(ordersTable[[#This Row],[Quantity]]*ordersTable[[#This Row],[UnitPrice]])-ordersTable[[#This Row],[TotalPrice]]</f>
        <v>0</v>
      </c>
    </row>
    <row r="1008" spans="1:15" x14ac:dyDescent="0.3">
      <c r="A1008" s="1" t="s">
        <v>1020</v>
      </c>
      <c r="B1008" s="2">
        <v>45439</v>
      </c>
      <c r="C1008" s="3" t="s">
        <v>2213</v>
      </c>
      <c r="D1008" s="1" t="s">
        <v>2405</v>
      </c>
      <c r="E1008" s="5">
        <v>5</v>
      </c>
      <c r="F1008" s="4">
        <v>420.98</v>
      </c>
      <c r="G1008" s="1" t="s">
        <v>2868</v>
      </c>
      <c r="H1008" s="1" t="s">
        <v>3069</v>
      </c>
      <c r="I1008" s="1" t="s">
        <v>3073</v>
      </c>
      <c r="J1008" s="1" t="s">
        <v>4081</v>
      </c>
      <c r="K1008" s="1">
        <v>7</v>
      </c>
      <c r="L1008" s="1" t="s">
        <v>4275</v>
      </c>
      <c r="M1008" s="1" t="s">
        <v>4281</v>
      </c>
      <c r="N1008" s="1">
        <v>2104.9</v>
      </c>
      <c r="O1008" s="1">
        <f>(ordersTable[[#This Row],[Quantity]]*ordersTable[[#This Row],[UnitPrice]])-ordersTable[[#This Row],[TotalPrice]]</f>
        <v>0</v>
      </c>
    </row>
    <row r="1009" spans="1:15" x14ac:dyDescent="0.3">
      <c r="A1009" s="1" t="s">
        <v>1021</v>
      </c>
      <c r="B1009" s="2">
        <v>45371</v>
      </c>
      <c r="C1009" s="3" t="s">
        <v>1699</v>
      </c>
      <c r="D1009" s="1" t="s">
        <v>2403</v>
      </c>
      <c r="E1009" s="5">
        <v>2</v>
      </c>
      <c r="F1009" s="4">
        <v>73.260000000000005</v>
      </c>
      <c r="G1009" s="1" t="s">
        <v>2499</v>
      </c>
      <c r="H1009" s="1" t="s">
        <v>3069</v>
      </c>
      <c r="I1009" s="1" t="s">
        <v>3074</v>
      </c>
      <c r="J1009" s="1" t="s">
        <v>4082</v>
      </c>
      <c r="K1009" s="1">
        <v>4</v>
      </c>
      <c r="L1009" s="1" t="s">
        <v>4277</v>
      </c>
      <c r="M1009" s="1" t="s">
        <v>4281</v>
      </c>
      <c r="N1009" s="1">
        <v>146.52000000000001</v>
      </c>
      <c r="O1009" s="1">
        <f>(ordersTable[[#This Row],[Quantity]]*ordersTable[[#This Row],[UnitPrice]])-ordersTable[[#This Row],[TotalPrice]]</f>
        <v>0</v>
      </c>
    </row>
    <row r="1010" spans="1:15" x14ac:dyDescent="0.3">
      <c r="A1010" s="1" t="s">
        <v>1022</v>
      </c>
      <c r="B1010" s="2">
        <v>44939</v>
      </c>
      <c r="C1010" s="3" t="s">
        <v>2214</v>
      </c>
      <c r="D1010" s="1" t="s">
        <v>2403</v>
      </c>
      <c r="E1010" s="5">
        <v>3</v>
      </c>
      <c r="F1010" s="4">
        <v>410.88</v>
      </c>
      <c r="G1010" s="1" t="s">
        <v>2916</v>
      </c>
      <c r="H1010" s="1" t="s">
        <v>3069</v>
      </c>
      <c r="I1010" s="1" t="s">
        <v>3073</v>
      </c>
      <c r="J1010" s="1" t="s">
        <v>4083</v>
      </c>
      <c r="K1010" s="1">
        <v>8</v>
      </c>
      <c r="L1010" s="1" t="s">
        <v>4276</v>
      </c>
      <c r="M1010" s="1" t="s">
        <v>4278</v>
      </c>
      <c r="N1010" s="1">
        <v>1232.6400000000001</v>
      </c>
      <c r="O1010" s="1">
        <f>(ordersTable[[#This Row],[Quantity]]*ordersTable[[#This Row],[UnitPrice]])-ordersTable[[#This Row],[TotalPrice]]</f>
        <v>0</v>
      </c>
    </row>
    <row r="1011" spans="1:15" x14ac:dyDescent="0.3">
      <c r="A1011" s="1" t="s">
        <v>1023</v>
      </c>
      <c r="B1011" s="2">
        <v>45171</v>
      </c>
      <c r="C1011" s="3" t="s">
        <v>2215</v>
      </c>
      <c r="D1011" s="1" t="s">
        <v>2405</v>
      </c>
      <c r="E1011" s="5">
        <v>2</v>
      </c>
      <c r="F1011" s="4">
        <v>176.46</v>
      </c>
      <c r="G1011" s="1" t="s">
        <v>2796</v>
      </c>
      <c r="H1011" s="1" t="s">
        <v>3067</v>
      </c>
      <c r="I1011" s="1" t="s">
        <v>3073</v>
      </c>
      <c r="J1011" s="1" t="s">
        <v>4084</v>
      </c>
      <c r="K1011" s="1">
        <v>2</v>
      </c>
      <c r="L1011" s="1" t="s">
        <v>4276</v>
      </c>
      <c r="M1011" s="1" t="s">
        <v>4280</v>
      </c>
      <c r="N1011" s="1">
        <v>352.92</v>
      </c>
      <c r="O1011" s="1">
        <f>(ordersTable[[#This Row],[Quantity]]*ordersTable[[#This Row],[UnitPrice]])-ordersTable[[#This Row],[TotalPrice]]</f>
        <v>0</v>
      </c>
    </row>
    <row r="1012" spans="1:15" x14ac:dyDescent="0.3">
      <c r="A1012" s="1" t="s">
        <v>1024</v>
      </c>
      <c r="B1012" s="2">
        <v>45016</v>
      </c>
      <c r="C1012" s="3" t="s">
        <v>2216</v>
      </c>
      <c r="D1012" s="1" t="s">
        <v>2403</v>
      </c>
      <c r="E1012" s="5">
        <v>3</v>
      </c>
      <c r="F1012" s="4">
        <v>659.57</v>
      </c>
      <c r="G1012" s="1" t="s">
        <v>2501</v>
      </c>
      <c r="H1012" s="1" t="s">
        <v>3067</v>
      </c>
      <c r="I1012" s="1" t="s">
        <v>3071</v>
      </c>
      <c r="J1012" s="1" t="s">
        <v>4085</v>
      </c>
      <c r="K1012" s="1">
        <v>6</v>
      </c>
      <c r="L1012" s="1" t="s">
        <v>4275</v>
      </c>
      <c r="M1012" s="1" t="s">
        <v>4280</v>
      </c>
      <c r="N1012" s="1">
        <v>1978.71</v>
      </c>
      <c r="O1012" s="1">
        <f>(ordersTable[[#This Row],[Quantity]]*ordersTable[[#This Row],[UnitPrice]])-ordersTable[[#This Row],[TotalPrice]]</f>
        <v>0</v>
      </c>
    </row>
    <row r="1013" spans="1:15" x14ac:dyDescent="0.3">
      <c r="A1013" s="1" t="s">
        <v>1025</v>
      </c>
      <c r="B1013" s="2">
        <v>45629</v>
      </c>
      <c r="C1013" s="3" t="s">
        <v>2217</v>
      </c>
      <c r="D1013" s="1" t="s">
        <v>2404</v>
      </c>
      <c r="E1013" s="5">
        <v>2</v>
      </c>
      <c r="F1013" s="4">
        <v>478.36</v>
      </c>
      <c r="G1013" s="1" t="s">
        <v>2646</v>
      </c>
      <c r="H1013" s="1" t="s">
        <v>3066</v>
      </c>
      <c r="I1013" s="1" t="s">
        <v>3070</v>
      </c>
      <c r="J1013" s="1" t="s">
        <v>4086</v>
      </c>
      <c r="K1013" s="1">
        <v>3</v>
      </c>
      <c r="M1013" s="1" t="s">
        <v>4282</v>
      </c>
      <c r="N1013" s="1">
        <v>956.72</v>
      </c>
      <c r="O1013" s="1">
        <f>(ordersTable[[#This Row],[Quantity]]*ordersTable[[#This Row],[UnitPrice]])-ordersTable[[#This Row],[TotalPrice]]</f>
        <v>0</v>
      </c>
    </row>
    <row r="1014" spans="1:15" x14ac:dyDescent="0.3">
      <c r="A1014" s="1" t="s">
        <v>1026</v>
      </c>
      <c r="B1014" s="2">
        <v>45629</v>
      </c>
      <c r="C1014" s="3" t="s">
        <v>2218</v>
      </c>
      <c r="D1014" s="1" t="s">
        <v>2407</v>
      </c>
      <c r="E1014" s="5">
        <v>4</v>
      </c>
      <c r="F1014" s="4">
        <v>30.05</v>
      </c>
      <c r="G1014" s="1" t="s">
        <v>2676</v>
      </c>
      <c r="H1014" s="1" t="s">
        <v>3066</v>
      </c>
      <c r="I1014" s="1" t="s">
        <v>3072</v>
      </c>
      <c r="J1014" s="1" t="s">
        <v>4087</v>
      </c>
      <c r="K1014" s="1">
        <v>6</v>
      </c>
      <c r="M1014" s="1" t="s">
        <v>4281</v>
      </c>
      <c r="N1014" s="1">
        <v>120.2</v>
      </c>
      <c r="O1014" s="1">
        <f>(ordersTable[[#This Row],[Quantity]]*ordersTable[[#This Row],[UnitPrice]])-ordersTable[[#This Row],[TotalPrice]]</f>
        <v>0</v>
      </c>
    </row>
    <row r="1015" spans="1:15" x14ac:dyDescent="0.3">
      <c r="A1015" s="1" t="s">
        <v>1027</v>
      </c>
      <c r="B1015" s="2">
        <v>45773</v>
      </c>
      <c r="C1015" s="3" t="s">
        <v>2219</v>
      </c>
      <c r="D1015" s="1" t="s">
        <v>2408</v>
      </c>
      <c r="E1015" s="5">
        <v>4</v>
      </c>
      <c r="F1015" s="4">
        <v>300.56</v>
      </c>
      <c r="G1015" s="1" t="s">
        <v>2463</v>
      </c>
      <c r="H1015" s="1" t="s">
        <v>3069</v>
      </c>
      <c r="I1015" s="1" t="s">
        <v>3071</v>
      </c>
      <c r="J1015" s="1" t="s">
        <v>4088</v>
      </c>
      <c r="K1015" s="1">
        <v>9</v>
      </c>
      <c r="L1015" s="1" t="s">
        <v>4276</v>
      </c>
      <c r="M1015" s="1" t="s">
        <v>4281</v>
      </c>
      <c r="N1015" s="1">
        <v>1202.24</v>
      </c>
      <c r="O1015" s="1">
        <f>(ordersTable[[#This Row],[Quantity]]*ordersTable[[#This Row],[UnitPrice]])-ordersTable[[#This Row],[TotalPrice]]</f>
        <v>0</v>
      </c>
    </row>
    <row r="1016" spans="1:15" x14ac:dyDescent="0.3">
      <c r="A1016" s="1" t="s">
        <v>1028</v>
      </c>
      <c r="B1016" s="2">
        <v>45326</v>
      </c>
      <c r="C1016" s="3" t="s">
        <v>2220</v>
      </c>
      <c r="D1016" s="1" t="s">
        <v>2405</v>
      </c>
      <c r="E1016" s="5">
        <v>5</v>
      </c>
      <c r="F1016" s="4">
        <v>226.45</v>
      </c>
      <c r="G1016" s="1" t="s">
        <v>2762</v>
      </c>
      <c r="H1016" s="1" t="s">
        <v>3065</v>
      </c>
      <c r="I1016" s="1" t="s">
        <v>3072</v>
      </c>
      <c r="J1016" s="1" t="s">
        <v>4089</v>
      </c>
      <c r="K1016" s="1">
        <v>6</v>
      </c>
      <c r="L1016" s="1" t="s">
        <v>4276</v>
      </c>
      <c r="M1016" s="1" t="s">
        <v>4280</v>
      </c>
      <c r="N1016" s="1">
        <v>1132.25</v>
      </c>
      <c r="O1016" s="1">
        <f>(ordersTable[[#This Row],[Quantity]]*ordersTable[[#This Row],[UnitPrice]])-ordersTable[[#This Row],[TotalPrice]]</f>
        <v>0</v>
      </c>
    </row>
    <row r="1017" spans="1:15" x14ac:dyDescent="0.3">
      <c r="A1017" s="1" t="s">
        <v>1029</v>
      </c>
      <c r="B1017" s="2">
        <v>45317</v>
      </c>
      <c r="C1017" s="3" t="s">
        <v>2221</v>
      </c>
      <c r="D1017" s="1" t="s">
        <v>2407</v>
      </c>
      <c r="E1017" s="5">
        <v>2</v>
      </c>
      <c r="F1017" s="4">
        <v>349.4</v>
      </c>
      <c r="G1017" s="1" t="s">
        <v>2838</v>
      </c>
      <c r="H1017" s="1" t="s">
        <v>3066</v>
      </c>
      <c r="I1017" s="1" t="s">
        <v>3070</v>
      </c>
      <c r="J1017" s="1" t="s">
        <v>4090</v>
      </c>
      <c r="K1017" s="1">
        <v>2</v>
      </c>
      <c r="L1017" s="1" t="s">
        <v>4275</v>
      </c>
      <c r="M1017" s="1" t="s">
        <v>4278</v>
      </c>
      <c r="N1017" s="1">
        <v>698.8</v>
      </c>
      <c r="O1017" s="1">
        <f>(ordersTable[[#This Row],[Quantity]]*ordersTable[[#This Row],[UnitPrice]])-ordersTable[[#This Row],[TotalPrice]]</f>
        <v>0</v>
      </c>
    </row>
    <row r="1018" spans="1:15" x14ac:dyDescent="0.3">
      <c r="A1018" s="1" t="s">
        <v>1030</v>
      </c>
      <c r="B1018" s="2">
        <v>45289</v>
      </c>
      <c r="C1018" s="3" t="s">
        <v>2222</v>
      </c>
      <c r="D1018" s="1" t="s">
        <v>2405</v>
      </c>
      <c r="E1018" s="5">
        <v>5</v>
      </c>
      <c r="F1018" s="4">
        <v>268.77999999999997</v>
      </c>
      <c r="G1018" s="1" t="s">
        <v>3002</v>
      </c>
      <c r="H1018" s="1" t="s">
        <v>3065</v>
      </c>
      <c r="I1018" s="1" t="s">
        <v>3073</v>
      </c>
      <c r="J1018" s="1" t="s">
        <v>4091</v>
      </c>
      <c r="K1018" s="1">
        <v>7</v>
      </c>
      <c r="L1018" s="1" t="s">
        <v>4277</v>
      </c>
      <c r="M1018" s="1" t="s">
        <v>4280</v>
      </c>
      <c r="N1018" s="1">
        <v>1343.9</v>
      </c>
      <c r="O1018" s="1">
        <f>(ordersTable[[#This Row],[Quantity]]*ordersTable[[#This Row],[UnitPrice]])-ordersTable[[#This Row],[TotalPrice]]</f>
        <v>0</v>
      </c>
    </row>
    <row r="1019" spans="1:15" x14ac:dyDescent="0.3">
      <c r="A1019" s="1" t="s">
        <v>1031</v>
      </c>
      <c r="B1019" s="2">
        <v>45529</v>
      </c>
      <c r="C1019" s="3" t="s">
        <v>2223</v>
      </c>
      <c r="D1019" s="1" t="s">
        <v>2406</v>
      </c>
      <c r="E1019" s="5">
        <v>2</v>
      </c>
      <c r="F1019" s="4">
        <v>680.85</v>
      </c>
      <c r="G1019" s="1" t="s">
        <v>3003</v>
      </c>
      <c r="H1019" s="1" t="s">
        <v>3068</v>
      </c>
      <c r="I1019" s="1" t="s">
        <v>3073</v>
      </c>
      <c r="J1019" s="1" t="s">
        <v>4092</v>
      </c>
      <c r="K1019" s="1">
        <v>6</v>
      </c>
      <c r="L1019" s="1" t="s">
        <v>4276</v>
      </c>
      <c r="M1019" s="1" t="s">
        <v>4279</v>
      </c>
      <c r="N1019" s="1">
        <v>1361.7</v>
      </c>
      <c r="O1019" s="1">
        <f>(ordersTable[[#This Row],[Quantity]]*ordersTable[[#This Row],[UnitPrice]])-ordersTable[[#This Row],[TotalPrice]]</f>
        <v>0</v>
      </c>
    </row>
    <row r="1020" spans="1:15" x14ac:dyDescent="0.3">
      <c r="A1020" s="1" t="s">
        <v>1032</v>
      </c>
      <c r="B1020" s="2">
        <v>45115</v>
      </c>
      <c r="C1020" s="3" t="s">
        <v>2224</v>
      </c>
      <c r="D1020" s="1" t="s">
        <v>2408</v>
      </c>
      <c r="E1020" s="5">
        <v>3</v>
      </c>
      <c r="F1020" s="4">
        <v>182.48</v>
      </c>
      <c r="G1020" s="1" t="s">
        <v>3004</v>
      </c>
      <c r="H1020" s="1" t="s">
        <v>3069</v>
      </c>
      <c r="I1020" s="1" t="s">
        <v>3073</v>
      </c>
      <c r="J1020" s="1" t="s">
        <v>4093</v>
      </c>
      <c r="K1020" s="1">
        <v>3</v>
      </c>
      <c r="M1020" s="1" t="s">
        <v>4278</v>
      </c>
      <c r="N1020" s="1">
        <v>547.43999999999994</v>
      </c>
      <c r="O1020" s="1">
        <f>(ordersTable[[#This Row],[Quantity]]*ordersTable[[#This Row],[UnitPrice]])-ordersTable[[#This Row],[TotalPrice]]</f>
        <v>0</v>
      </c>
    </row>
    <row r="1021" spans="1:15" x14ac:dyDescent="0.3">
      <c r="A1021" s="1" t="s">
        <v>1033</v>
      </c>
      <c r="B1021" s="2">
        <v>45388</v>
      </c>
      <c r="C1021" s="3" t="s">
        <v>2225</v>
      </c>
      <c r="D1021" s="1" t="s">
        <v>2409</v>
      </c>
      <c r="E1021" s="5">
        <v>1</v>
      </c>
      <c r="F1021" s="4">
        <v>277.08999999999997</v>
      </c>
      <c r="G1021" s="1" t="s">
        <v>2694</v>
      </c>
      <c r="H1021" s="1" t="s">
        <v>3069</v>
      </c>
      <c r="I1021" s="1" t="s">
        <v>3072</v>
      </c>
      <c r="J1021" s="1" t="s">
        <v>4094</v>
      </c>
      <c r="K1021" s="1">
        <v>2</v>
      </c>
      <c r="L1021" s="1" t="s">
        <v>4275</v>
      </c>
      <c r="M1021" s="1" t="s">
        <v>4279</v>
      </c>
      <c r="N1021" s="1">
        <v>277.08999999999997</v>
      </c>
      <c r="O1021" s="1">
        <f>(ordersTable[[#This Row],[Quantity]]*ordersTable[[#This Row],[UnitPrice]])-ordersTable[[#This Row],[TotalPrice]]</f>
        <v>0</v>
      </c>
    </row>
    <row r="1022" spans="1:15" x14ac:dyDescent="0.3">
      <c r="A1022" s="1" t="s">
        <v>1034</v>
      </c>
      <c r="B1022" s="2">
        <v>45404</v>
      </c>
      <c r="C1022" s="3" t="s">
        <v>2226</v>
      </c>
      <c r="D1022" s="1" t="s">
        <v>2405</v>
      </c>
      <c r="E1022" s="5">
        <v>2</v>
      </c>
      <c r="F1022" s="4">
        <v>26.5</v>
      </c>
      <c r="G1022" s="1" t="s">
        <v>2714</v>
      </c>
      <c r="H1022" s="1" t="s">
        <v>3066</v>
      </c>
      <c r="I1022" s="1" t="s">
        <v>3073</v>
      </c>
      <c r="J1022" s="1" t="s">
        <v>4095</v>
      </c>
      <c r="K1022" s="1">
        <v>3</v>
      </c>
      <c r="L1022" s="1" t="s">
        <v>4275</v>
      </c>
      <c r="M1022" s="1" t="s">
        <v>4278</v>
      </c>
      <c r="N1022" s="1">
        <v>53</v>
      </c>
      <c r="O1022" s="1">
        <f>(ordersTable[[#This Row],[Quantity]]*ordersTable[[#This Row],[UnitPrice]])-ordersTable[[#This Row],[TotalPrice]]</f>
        <v>0</v>
      </c>
    </row>
    <row r="1023" spans="1:15" x14ac:dyDescent="0.3">
      <c r="A1023" s="1" t="s">
        <v>1035</v>
      </c>
      <c r="B1023" s="2">
        <v>45222</v>
      </c>
      <c r="C1023" s="3" t="s">
        <v>2227</v>
      </c>
      <c r="D1023" s="1" t="s">
        <v>2404</v>
      </c>
      <c r="E1023" s="5">
        <v>3</v>
      </c>
      <c r="F1023" s="4">
        <v>315.27</v>
      </c>
      <c r="G1023" s="1" t="s">
        <v>2961</v>
      </c>
      <c r="H1023" s="1" t="s">
        <v>3067</v>
      </c>
      <c r="I1023" s="1" t="s">
        <v>3071</v>
      </c>
      <c r="J1023" s="1" t="s">
        <v>4096</v>
      </c>
      <c r="K1023" s="1">
        <v>4</v>
      </c>
      <c r="L1023" s="1" t="s">
        <v>4275</v>
      </c>
      <c r="M1023" s="1" t="s">
        <v>4280</v>
      </c>
      <c r="N1023" s="1">
        <v>945.81</v>
      </c>
      <c r="O1023" s="1">
        <f>(ordersTable[[#This Row],[Quantity]]*ordersTable[[#This Row],[UnitPrice]])-ordersTable[[#This Row],[TotalPrice]]</f>
        <v>0</v>
      </c>
    </row>
    <row r="1024" spans="1:15" x14ac:dyDescent="0.3">
      <c r="A1024" s="1" t="s">
        <v>1036</v>
      </c>
      <c r="B1024" s="2">
        <v>45712</v>
      </c>
      <c r="C1024" s="3" t="s">
        <v>2228</v>
      </c>
      <c r="D1024" s="1" t="s">
        <v>2405</v>
      </c>
      <c r="E1024" s="5">
        <v>3</v>
      </c>
      <c r="F1024" s="4">
        <v>450.98</v>
      </c>
      <c r="G1024" s="1" t="s">
        <v>2877</v>
      </c>
      <c r="H1024" s="1" t="s">
        <v>3067</v>
      </c>
      <c r="I1024" s="1" t="s">
        <v>3070</v>
      </c>
      <c r="J1024" s="1" t="s">
        <v>4097</v>
      </c>
      <c r="K1024" s="1">
        <v>8</v>
      </c>
      <c r="L1024" s="1" t="s">
        <v>4275</v>
      </c>
      <c r="M1024" s="1" t="s">
        <v>4279</v>
      </c>
      <c r="N1024" s="1">
        <v>1352.94</v>
      </c>
      <c r="O1024" s="1">
        <f>(ordersTable[[#This Row],[Quantity]]*ordersTable[[#This Row],[UnitPrice]])-ordersTable[[#This Row],[TotalPrice]]</f>
        <v>0</v>
      </c>
    </row>
    <row r="1025" spans="1:15" x14ac:dyDescent="0.3">
      <c r="A1025" s="1" t="s">
        <v>1037</v>
      </c>
      <c r="B1025" s="2">
        <v>45558</v>
      </c>
      <c r="C1025" s="3" t="s">
        <v>2229</v>
      </c>
      <c r="D1025" s="1" t="s">
        <v>2408</v>
      </c>
      <c r="E1025" s="5">
        <v>5</v>
      </c>
      <c r="F1025" s="4">
        <v>233.67</v>
      </c>
      <c r="G1025" s="1" t="s">
        <v>2493</v>
      </c>
      <c r="H1025" s="1" t="s">
        <v>3069</v>
      </c>
      <c r="I1025" s="1" t="s">
        <v>3070</v>
      </c>
      <c r="J1025" s="1" t="s">
        <v>4098</v>
      </c>
      <c r="K1025" s="1">
        <v>10</v>
      </c>
      <c r="M1025" s="1" t="s">
        <v>4279</v>
      </c>
      <c r="N1025" s="1">
        <v>1168.3499999999999</v>
      </c>
      <c r="O1025" s="1">
        <f>(ordersTable[[#This Row],[Quantity]]*ordersTable[[#This Row],[UnitPrice]])-ordersTable[[#This Row],[TotalPrice]]</f>
        <v>0</v>
      </c>
    </row>
    <row r="1026" spans="1:15" x14ac:dyDescent="0.3">
      <c r="A1026" s="1" t="s">
        <v>1038</v>
      </c>
      <c r="B1026" s="2">
        <v>45320</v>
      </c>
      <c r="C1026" s="3" t="s">
        <v>2230</v>
      </c>
      <c r="D1026" s="1" t="s">
        <v>2406</v>
      </c>
      <c r="E1026" s="5">
        <v>3</v>
      </c>
      <c r="F1026" s="4">
        <v>367.75</v>
      </c>
      <c r="G1026" s="1" t="s">
        <v>2769</v>
      </c>
      <c r="H1026" s="1" t="s">
        <v>3069</v>
      </c>
      <c r="I1026" s="1" t="s">
        <v>3074</v>
      </c>
      <c r="J1026" s="1" t="s">
        <v>4099</v>
      </c>
      <c r="K1026" s="1">
        <v>7</v>
      </c>
      <c r="L1026" s="1" t="s">
        <v>4276</v>
      </c>
      <c r="M1026" s="1" t="s">
        <v>4281</v>
      </c>
      <c r="N1026" s="1">
        <v>1103.25</v>
      </c>
      <c r="O1026" s="1">
        <f>(ordersTable[[#This Row],[Quantity]]*ordersTable[[#This Row],[UnitPrice]])-ordersTable[[#This Row],[TotalPrice]]</f>
        <v>0</v>
      </c>
    </row>
    <row r="1027" spans="1:15" x14ac:dyDescent="0.3">
      <c r="A1027" s="1" t="s">
        <v>1039</v>
      </c>
      <c r="B1027" s="2">
        <v>45794</v>
      </c>
      <c r="C1027" s="3" t="s">
        <v>2231</v>
      </c>
      <c r="D1027" s="1" t="s">
        <v>2406</v>
      </c>
      <c r="E1027" s="5">
        <v>1</v>
      </c>
      <c r="F1027" s="4">
        <v>23.53</v>
      </c>
      <c r="G1027" s="1" t="s">
        <v>2548</v>
      </c>
      <c r="H1027" s="1" t="s">
        <v>3068</v>
      </c>
      <c r="I1027" s="1" t="s">
        <v>3073</v>
      </c>
      <c r="J1027" s="1" t="s">
        <v>4100</v>
      </c>
      <c r="K1027" s="1">
        <v>2</v>
      </c>
      <c r="L1027" s="1" t="s">
        <v>4276</v>
      </c>
      <c r="M1027" s="1" t="s">
        <v>4278</v>
      </c>
      <c r="N1027" s="1">
        <v>23.53</v>
      </c>
      <c r="O1027" s="1">
        <f>(ordersTable[[#This Row],[Quantity]]*ordersTable[[#This Row],[UnitPrice]])-ordersTable[[#This Row],[TotalPrice]]</f>
        <v>0</v>
      </c>
    </row>
    <row r="1028" spans="1:15" x14ac:dyDescent="0.3">
      <c r="A1028" s="1" t="s">
        <v>1040</v>
      </c>
      <c r="B1028" s="2">
        <v>45047</v>
      </c>
      <c r="C1028" s="3" t="s">
        <v>2232</v>
      </c>
      <c r="D1028" s="1" t="s">
        <v>2403</v>
      </c>
      <c r="E1028" s="5">
        <v>1</v>
      </c>
      <c r="F1028" s="4">
        <v>677.48</v>
      </c>
      <c r="G1028" s="1" t="s">
        <v>2521</v>
      </c>
      <c r="H1028" s="1" t="s">
        <v>3066</v>
      </c>
      <c r="I1028" s="1" t="s">
        <v>3073</v>
      </c>
      <c r="J1028" s="1" t="s">
        <v>4101</v>
      </c>
      <c r="K1028" s="1">
        <v>1</v>
      </c>
      <c r="L1028" s="1" t="s">
        <v>4277</v>
      </c>
      <c r="M1028" s="1" t="s">
        <v>4281</v>
      </c>
      <c r="N1028" s="1">
        <v>677.48</v>
      </c>
      <c r="O1028" s="1">
        <f>(ordersTable[[#This Row],[Quantity]]*ordersTable[[#This Row],[UnitPrice]])-ordersTable[[#This Row],[TotalPrice]]</f>
        <v>0</v>
      </c>
    </row>
    <row r="1029" spans="1:15" x14ac:dyDescent="0.3">
      <c r="A1029" s="1" t="s">
        <v>1041</v>
      </c>
      <c r="B1029" s="2">
        <v>45433</v>
      </c>
      <c r="C1029" s="3" t="s">
        <v>2233</v>
      </c>
      <c r="D1029" s="1" t="s">
        <v>2408</v>
      </c>
      <c r="E1029" s="5">
        <v>4</v>
      </c>
      <c r="F1029" s="4">
        <v>554.83000000000004</v>
      </c>
      <c r="G1029" s="1" t="s">
        <v>2908</v>
      </c>
      <c r="H1029" s="1" t="s">
        <v>3069</v>
      </c>
      <c r="I1029" s="1" t="s">
        <v>3072</v>
      </c>
      <c r="J1029" s="1" t="s">
        <v>4102</v>
      </c>
      <c r="K1029" s="1">
        <v>6</v>
      </c>
      <c r="M1029" s="1" t="s">
        <v>4282</v>
      </c>
      <c r="N1029" s="1">
        <v>2219.3200000000002</v>
      </c>
      <c r="O1029" s="1">
        <f>(ordersTable[[#This Row],[Quantity]]*ordersTable[[#This Row],[UnitPrice]])-ordersTable[[#This Row],[TotalPrice]]</f>
        <v>0</v>
      </c>
    </row>
    <row r="1030" spans="1:15" x14ac:dyDescent="0.3">
      <c r="A1030" s="1" t="s">
        <v>1042</v>
      </c>
      <c r="B1030" s="2">
        <v>44974</v>
      </c>
      <c r="C1030" s="3" t="s">
        <v>2234</v>
      </c>
      <c r="D1030" s="1" t="s">
        <v>2409</v>
      </c>
      <c r="E1030" s="5">
        <v>4</v>
      </c>
      <c r="F1030" s="4">
        <v>440.31</v>
      </c>
      <c r="G1030" s="1" t="s">
        <v>2610</v>
      </c>
      <c r="H1030" s="1" t="s">
        <v>3069</v>
      </c>
      <c r="I1030" s="1" t="s">
        <v>3071</v>
      </c>
      <c r="J1030" s="1" t="s">
        <v>4103</v>
      </c>
      <c r="K1030" s="1">
        <v>6</v>
      </c>
      <c r="M1030" s="1" t="s">
        <v>4278</v>
      </c>
      <c r="N1030" s="1">
        <v>1761.24</v>
      </c>
      <c r="O1030" s="1">
        <f>(ordersTable[[#This Row],[Quantity]]*ordersTable[[#This Row],[UnitPrice]])-ordersTable[[#This Row],[TotalPrice]]</f>
        <v>0</v>
      </c>
    </row>
    <row r="1031" spans="1:15" x14ac:dyDescent="0.3">
      <c r="A1031" s="1" t="s">
        <v>1043</v>
      </c>
      <c r="B1031" s="2">
        <v>45717</v>
      </c>
      <c r="C1031" s="3" t="s">
        <v>2235</v>
      </c>
      <c r="D1031" s="1" t="s">
        <v>2409</v>
      </c>
      <c r="E1031" s="5">
        <v>1</v>
      </c>
      <c r="F1031" s="4">
        <v>87.06</v>
      </c>
      <c r="G1031" s="1" t="s">
        <v>2988</v>
      </c>
      <c r="H1031" s="1" t="s">
        <v>3067</v>
      </c>
      <c r="I1031" s="1" t="s">
        <v>3070</v>
      </c>
      <c r="J1031" s="1" t="s">
        <v>4104</v>
      </c>
      <c r="K1031" s="1">
        <v>4</v>
      </c>
      <c r="L1031" s="1" t="s">
        <v>4276</v>
      </c>
      <c r="M1031" s="1" t="s">
        <v>4280</v>
      </c>
      <c r="N1031" s="1">
        <v>87.06</v>
      </c>
      <c r="O1031" s="1">
        <f>(ordersTable[[#This Row],[Quantity]]*ordersTable[[#This Row],[UnitPrice]])-ordersTable[[#This Row],[TotalPrice]]</f>
        <v>0</v>
      </c>
    </row>
    <row r="1032" spans="1:15" x14ac:dyDescent="0.3">
      <c r="A1032" s="1" t="s">
        <v>1044</v>
      </c>
      <c r="B1032" s="2">
        <v>45201</v>
      </c>
      <c r="C1032" s="3" t="s">
        <v>2236</v>
      </c>
      <c r="D1032" s="1" t="s">
        <v>2404</v>
      </c>
      <c r="E1032" s="5">
        <v>4</v>
      </c>
      <c r="F1032" s="4">
        <v>245.28</v>
      </c>
      <c r="G1032" s="1" t="s">
        <v>3005</v>
      </c>
      <c r="H1032" s="1" t="s">
        <v>3067</v>
      </c>
      <c r="I1032" s="1" t="s">
        <v>3073</v>
      </c>
      <c r="J1032" s="1" t="s">
        <v>4105</v>
      </c>
      <c r="K1032" s="1">
        <v>6</v>
      </c>
      <c r="L1032" s="1" t="s">
        <v>4277</v>
      </c>
      <c r="M1032" s="1" t="s">
        <v>4280</v>
      </c>
      <c r="N1032" s="1">
        <v>981.12</v>
      </c>
      <c r="O1032" s="1">
        <f>(ordersTable[[#This Row],[Quantity]]*ordersTable[[#This Row],[UnitPrice]])-ordersTable[[#This Row],[TotalPrice]]</f>
        <v>0</v>
      </c>
    </row>
    <row r="1033" spans="1:15" x14ac:dyDescent="0.3">
      <c r="A1033" s="1" t="s">
        <v>1045</v>
      </c>
      <c r="B1033" s="2">
        <v>44985</v>
      </c>
      <c r="C1033" s="3" t="s">
        <v>2237</v>
      </c>
      <c r="D1033" s="1" t="s">
        <v>2404</v>
      </c>
      <c r="E1033" s="5">
        <v>5</v>
      </c>
      <c r="F1033" s="4">
        <v>664.51</v>
      </c>
      <c r="G1033" s="1" t="s">
        <v>3006</v>
      </c>
      <c r="H1033" s="1" t="s">
        <v>3065</v>
      </c>
      <c r="I1033" s="1" t="s">
        <v>3074</v>
      </c>
      <c r="J1033" s="1" t="s">
        <v>4106</v>
      </c>
      <c r="K1033" s="1">
        <v>8</v>
      </c>
      <c r="L1033" s="1" t="s">
        <v>4275</v>
      </c>
      <c r="M1033" s="1" t="s">
        <v>4280</v>
      </c>
      <c r="N1033" s="1">
        <v>3322.55</v>
      </c>
      <c r="O1033" s="1">
        <f>(ordersTable[[#This Row],[Quantity]]*ordersTable[[#This Row],[UnitPrice]])-ordersTable[[#This Row],[TotalPrice]]</f>
        <v>0</v>
      </c>
    </row>
    <row r="1034" spans="1:15" x14ac:dyDescent="0.3">
      <c r="A1034" s="1" t="s">
        <v>1046</v>
      </c>
      <c r="B1034" s="2">
        <v>45036</v>
      </c>
      <c r="C1034" s="3" t="s">
        <v>2238</v>
      </c>
      <c r="D1034" s="1" t="s">
        <v>2406</v>
      </c>
      <c r="E1034" s="5">
        <v>1</v>
      </c>
      <c r="F1034" s="4">
        <v>618.67999999999995</v>
      </c>
      <c r="G1034" s="1" t="s">
        <v>2653</v>
      </c>
      <c r="H1034" s="1" t="s">
        <v>3066</v>
      </c>
      <c r="I1034" s="1" t="s">
        <v>3073</v>
      </c>
      <c r="J1034" s="1" t="s">
        <v>4107</v>
      </c>
      <c r="K1034" s="1">
        <v>6</v>
      </c>
      <c r="L1034" s="1" t="s">
        <v>4277</v>
      </c>
      <c r="M1034" s="1" t="s">
        <v>4279</v>
      </c>
      <c r="N1034" s="1">
        <v>618.67999999999995</v>
      </c>
      <c r="O1034" s="1">
        <f>(ordersTable[[#This Row],[Quantity]]*ordersTable[[#This Row],[UnitPrice]])-ordersTable[[#This Row],[TotalPrice]]</f>
        <v>0</v>
      </c>
    </row>
    <row r="1035" spans="1:15" x14ac:dyDescent="0.3">
      <c r="A1035" s="1" t="s">
        <v>1047</v>
      </c>
      <c r="B1035" s="2">
        <v>45650</v>
      </c>
      <c r="C1035" s="3" t="s">
        <v>2239</v>
      </c>
      <c r="D1035" s="1" t="s">
        <v>2403</v>
      </c>
      <c r="E1035" s="5">
        <v>1</v>
      </c>
      <c r="F1035" s="4">
        <v>370.85</v>
      </c>
      <c r="G1035" s="1" t="s">
        <v>3007</v>
      </c>
      <c r="H1035" s="1" t="s">
        <v>3068</v>
      </c>
      <c r="I1035" s="1" t="s">
        <v>3073</v>
      </c>
      <c r="J1035" s="1" t="s">
        <v>4108</v>
      </c>
      <c r="K1035" s="1">
        <v>2</v>
      </c>
      <c r="L1035" s="1" t="s">
        <v>4276</v>
      </c>
      <c r="M1035" s="1" t="s">
        <v>4279</v>
      </c>
      <c r="N1035" s="1">
        <v>370.85</v>
      </c>
      <c r="O1035" s="1">
        <f>(ordersTable[[#This Row],[Quantity]]*ordersTable[[#This Row],[UnitPrice]])-ordersTable[[#This Row],[TotalPrice]]</f>
        <v>0</v>
      </c>
    </row>
    <row r="1036" spans="1:15" x14ac:dyDescent="0.3">
      <c r="A1036" s="1" t="s">
        <v>1048</v>
      </c>
      <c r="B1036" s="2">
        <v>45459</v>
      </c>
      <c r="C1036" s="3" t="s">
        <v>2240</v>
      </c>
      <c r="D1036" s="1" t="s">
        <v>2407</v>
      </c>
      <c r="E1036" s="5">
        <v>4</v>
      </c>
      <c r="F1036" s="4">
        <v>517.98</v>
      </c>
      <c r="G1036" s="1" t="s">
        <v>3008</v>
      </c>
      <c r="H1036" s="1" t="s">
        <v>3069</v>
      </c>
      <c r="I1036" s="1" t="s">
        <v>3071</v>
      </c>
      <c r="J1036" s="1" t="s">
        <v>4109</v>
      </c>
      <c r="K1036" s="1">
        <v>8</v>
      </c>
      <c r="L1036" s="1" t="s">
        <v>4276</v>
      </c>
      <c r="M1036" s="1" t="s">
        <v>4281</v>
      </c>
      <c r="N1036" s="1">
        <v>2071.92</v>
      </c>
      <c r="O1036" s="1">
        <f>(ordersTable[[#This Row],[Quantity]]*ordersTable[[#This Row],[UnitPrice]])-ordersTable[[#This Row],[TotalPrice]]</f>
        <v>0</v>
      </c>
    </row>
    <row r="1037" spans="1:15" x14ac:dyDescent="0.3">
      <c r="A1037" s="1" t="s">
        <v>1049</v>
      </c>
      <c r="B1037" s="2">
        <v>45242</v>
      </c>
      <c r="C1037" s="3" t="s">
        <v>2241</v>
      </c>
      <c r="D1037" s="1" t="s">
        <v>2408</v>
      </c>
      <c r="E1037" s="5">
        <v>4</v>
      </c>
      <c r="F1037" s="4">
        <v>506.11</v>
      </c>
      <c r="G1037" s="1" t="s">
        <v>3009</v>
      </c>
      <c r="H1037" s="1" t="s">
        <v>3069</v>
      </c>
      <c r="I1037" s="1" t="s">
        <v>3071</v>
      </c>
      <c r="J1037" s="1" t="s">
        <v>4110</v>
      </c>
      <c r="K1037" s="1">
        <v>5</v>
      </c>
      <c r="M1037" s="1" t="s">
        <v>4279</v>
      </c>
      <c r="N1037" s="1">
        <v>2024.44</v>
      </c>
      <c r="O1037" s="1">
        <f>(ordersTable[[#This Row],[Quantity]]*ordersTable[[#This Row],[UnitPrice]])-ordersTable[[#This Row],[TotalPrice]]</f>
        <v>0</v>
      </c>
    </row>
    <row r="1038" spans="1:15" x14ac:dyDescent="0.3">
      <c r="A1038" s="1" t="s">
        <v>1050</v>
      </c>
      <c r="B1038" s="2">
        <v>45443</v>
      </c>
      <c r="C1038" s="3" t="s">
        <v>2242</v>
      </c>
      <c r="D1038" s="1" t="s">
        <v>2404</v>
      </c>
      <c r="E1038" s="5">
        <v>3</v>
      </c>
      <c r="F1038" s="4">
        <v>413.83</v>
      </c>
      <c r="G1038" s="1" t="s">
        <v>2474</v>
      </c>
      <c r="H1038" s="1" t="s">
        <v>3068</v>
      </c>
      <c r="I1038" s="1" t="s">
        <v>3070</v>
      </c>
      <c r="J1038" s="1" t="s">
        <v>4111</v>
      </c>
      <c r="K1038" s="1">
        <v>8</v>
      </c>
      <c r="L1038" s="1" t="s">
        <v>4275</v>
      </c>
      <c r="M1038" s="1" t="s">
        <v>4281</v>
      </c>
      <c r="N1038" s="1">
        <v>1241.49</v>
      </c>
      <c r="O1038" s="1">
        <f>(ordersTable[[#This Row],[Quantity]]*ordersTable[[#This Row],[UnitPrice]])-ordersTable[[#This Row],[TotalPrice]]</f>
        <v>0</v>
      </c>
    </row>
    <row r="1039" spans="1:15" x14ac:dyDescent="0.3">
      <c r="A1039" s="1" t="s">
        <v>1051</v>
      </c>
      <c r="B1039" s="2">
        <v>45273</v>
      </c>
      <c r="C1039" s="3" t="s">
        <v>2243</v>
      </c>
      <c r="D1039" s="1" t="s">
        <v>2407</v>
      </c>
      <c r="E1039" s="5">
        <v>1</v>
      </c>
      <c r="F1039" s="4">
        <v>249.81</v>
      </c>
      <c r="G1039" s="1" t="s">
        <v>2875</v>
      </c>
      <c r="H1039" s="1" t="s">
        <v>3069</v>
      </c>
      <c r="I1039" s="1" t="s">
        <v>3074</v>
      </c>
      <c r="J1039" s="1" t="s">
        <v>4112</v>
      </c>
      <c r="K1039" s="1">
        <v>1</v>
      </c>
      <c r="L1039" s="1" t="s">
        <v>4275</v>
      </c>
      <c r="M1039" s="1" t="s">
        <v>4282</v>
      </c>
      <c r="N1039" s="1">
        <v>249.81</v>
      </c>
      <c r="O1039" s="1">
        <f>(ordersTable[[#This Row],[Quantity]]*ordersTable[[#This Row],[UnitPrice]])-ordersTable[[#This Row],[TotalPrice]]</f>
        <v>0</v>
      </c>
    </row>
    <row r="1040" spans="1:15" x14ac:dyDescent="0.3">
      <c r="A1040" s="1" t="s">
        <v>1052</v>
      </c>
      <c r="B1040" s="2">
        <v>45731</v>
      </c>
      <c r="C1040" s="3" t="s">
        <v>2244</v>
      </c>
      <c r="D1040" s="1" t="s">
        <v>2405</v>
      </c>
      <c r="E1040" s="5">
        <v>3</v>
      </c>
      <c r="F1040" s="4">
        <v>362.53</v>
      </c>
      <c r="G1040" s="1" t="s">
        <v>3010</v>
      </c>
      <c r="H1040" s="1" t="s">
        <v>3065</v>
      </c>
      <c r="I1040" s="1" t="s">
        <v>3072</v>
      </c>
      <c r="J1040" s="1" t="s">
        <v>4113</v>
      </c>
      <c r="K1040" s="1">
        <v>5</v>
      </c>
      <c r="M1040" s="1" t="s">
        <v>4281</v>
      </c>
      <c r="N1040" s="1">
        <v>1087.5899999999999</v>
      </c>
      <c r="O1040" s="1">
        <f>(ordersTable[[#This Row],[Quantity]]*ordersTable[[#This Row],[UnitPrice]])-ordersTable[[#This Row],[TotalPrice]]</f>
        <v>0</v>
      </c>
    </row>
    <row r="1041" spans="1:15" x14ac:dyDescent="0.3">
      <c r="A1041" s="1" t="s">
        <v>1053</v>
      </c>
      <c r="B1041" s="2">
        <v>45836</v>
      </c>
      <c r="C1041" s="3" t="s">
        <v>2245</v>
      </c>
      <c r="D1041" s="1" t="s">
        <v>2409</v>
      </c>
      <c r="E1041" s="5">
        <v>2</v>
      </c>
      <c r="F1041" s="4">
        <v>299.23</v>
      </c>
      <c r="G1041" s="1" t="s">
        <v>3011</v>
      </c>
      <c r="H1041" s="1" t="s">
        <v>3067</v>
      </c>
      <c r="I1041" s="1" t="s">
        <v>3071</v>
      </c>
      <c r="J1041" s="1" t="s">
        <v>4114</v>
      </c>
      <c r="K1041" s="1">
        <v>2</v>
      </c>
      <c r="L1041" s="1" t="s">
        <v>4277</v>
      </c>
      <c r="M1041" s="1" t="s">
        <v>4278</v>
      </c>
      <c r="N1041" s="1">
        <v>598.46</v>
      </c>
      <c r="O1041" s="1">
        <f>(ordersTable[[#This Row],[Quantity]]*ordersTable[[#This Row],[UnitPrice]])-ordersTable[[#This Row],[TotalPrice]]</f>
        <v>0</v>
      </c>
    </row>
    <row r="1042" spans="1:15" x14ac:dyDescent="0.3">
      <c r="A1042" s="1" t="s">
        <v>1054</v>
      </c>
      <c r="B1042" s="2">
        <v>45245</v>
      </c>
      <c r="C1042" s="3" t="s">
        <v>2246</v>
      </c>
      <c r="D1042" s="1" t="s">
        <v>2405</v>
      </c>
      <c r="E1042" s="5">
        <v>1</v>
      </c>
      <c r="F1042" s="4">
        <v>536.07000000000005</v>
      </c>
      <c r="G1042" s="1" t="s">
        <v>2817</v>
      </c>
      <c r="H1042" s="1" t="s">
        <v>3065</v>
      </c>
      <c r="I1042" s="1" t="s">
        <v>3073</v>
      </c>
      <c r="J1042" s="1" t="s">
        <v>4115</v>
      </c>
      <c r="K1042" s="1">
        <v>5</v>
      </c>
      <c r="L1042" s="1" t="s">
        <v>4276</v>
      </c>
      <c r="M1042" s="1" t="s">
        <v>4282</v>
      </c>
      <c r="N1042" s="1">
        <v>536.07000000000005</v>
      </c>
      <c r="O1042" s="1">
        <f>(ordersTable[[#This Row],[Quantity]]*ordersTable[[#This Row],[UnitPrice]])-ordersTable[[#This Row],[TotalPrice]]</f>
        <v>0</v>
      </c>
    </row>
    <row r="1043" spans="1:15" x14ac:dyDescent="0.3">
      <c r="A1043" s="1" t="s">
        <v>1055</v>
      </c>
      <c r="B1043" s="2">
        <v>44968</v>
      </c>
      <c r="C1043" s="3" t="s">
        <v>2247</v>
      </c>
      <c r="D1043" s="1" t="s">
        <v>2403</v>
      </c>
      <c r="E1043" s="5">
        <v>4</v>
      </c>
      <c r="F1043" s="4">
        <v>558.9</v>
      </c>
      <c r="G1043" s="1" t="s">
        <v>2608</v>
      </c>
      <c r="H1043" s="1" t="s">
        <v>3068</v>
      </c>
      <c r="I1043" s="1" t="s">
        <v>3070</v>
      </c>
      <c r="J1043" s="1" t="s">
        <v>4116</v>
      </c>
      <c r="K1043" s="1">
        <v>9</v>
      </c>
      <c r="L1043" s="1" t="s">
        <v>4277</v>
      </c>
      <c r="M1043" s="1" t="s">
        <v>4282</v>
      </c>
      <c r="N1043" s="1">
        <v>2235.6</v>
      </c>
      <c r="O1043" s="1">
        <f>(ordersTable[[#This Row],[Quantity]]*ordersTable[[#This Row],[UnitPrice]])-ordersTable[[#This Row],[TotalPrice]]</f>
        <v>0</v>
      </c>
    </row>
    <row r="1044" spans="1:15" x14ac:dyDescent="0.3">
      <c r="A1044" s="1" t="s">
        <v>1056</v>
      </c>
      <c r="B1044" s="2">
        <v>45635</v>
      </c>
      <c r="C1044" s="3" t="s">
        <v>2248</v>
      </c>
      <c r="D1044" s="1" t="s">
        <v>2405</v>
      </c>
      <c r="E1044" s="5">
        <v>2</v>
      </c>
      <c r="F1044" s="4">
        <v>409.75</v>
      </c>
      <c r="G1044" s="1" t="s">
        <v>2681</v>
      </c>
      <c r="H1044" s="1" t="s">
        <v>3065</v>
      </c>
      <c r="I1044" s="1" t="s">
        <v>3070</v>
      </c>
      <c r="J1044" s="1" t="s">
        <v>4117</v>
      </c>
      <c r="K1044" s="1">
        <v>2</v>
      </c>
      <c r="L1044" s="1" t="s">
        <v>4277</v>
      </c>
      <c r="M1044" s="1" t="s">
        <v>4281</v>
      </c>
      <c r="N1044" s="1">
        <v>819.5</v>
      </c>
      <c r="O1044" s="1">
        <f>(ordersTable[[#This Row],[Quantity]]*ordersTable[[#This Row],[UnitPrice]])-ordersTable[[#This Row],[TotalPrice]]</f>
        <v>0</v>
      </c>
    </row>
    <row r="1045" spans="1:15" x14ac:dyDescent="0.3">
      <c r="A1045" s="1" t="s">
        <v>1057</v>
      </c>
      <c r="B1045" s="2">
        <v>45668</v>
      </c>
      <c r="C1045" s="3" t="s">
        <v>2249</v>
      </c>
      <c r="D1045" s="1" t="s">
        <v>2405</v>
      </c>
      <c r="E1045" s="5">
        <v>2</v>
      </c>
      <c r="F1045" s="4">
        <v>179.96</v>
      </c>
      <c r="G1045" s="1" t="s">
        <v>2991</v>
      </c>
      <c r="H1045" s="1" t="s">
        <v>3068</v>
      </c>
      <c r="I1045" s="1" t="s">
        <v>3070</v>
      </c>
      <c r="J1045" s="1" t="s">
        <v>4118</v>
      </c>
      <c r="K1045" s="1">
        <v>5</v>
      </c>
      <c r="M1045" s="1" t="s">
        <v>4278</v>
      </c>
      <c r="N1045" s="1">
        <v>359.92</v>
      </c>
      <c r="O1045" s="1">
        <f>(ordersTable[[#This Row],[Quantity]]*ordersTable[[#This Row],[UnitPrice]])-ordersTable[[#This Row],[TotalPrice]]</f>
        <v>0</v>
      </c>
    </row>
    <row r="1046" spans="1:15" x14ac:dyDescent="0.3">
      <c r="A1046" s="1" t="s">
        <v>1058</v>
      </c>
      <c r="B1046" s="2">
        <v>45830</v>
      </c>
      <c r="C1046" s="3" t="s">
        <v>2250</v>
      </c>
      <c r="D1046" s="1" t="s">
        <v>2407</v>
      </c>
      <c r="E1046" s="5">
        <v>1</v>
      </c>
      <c r="F1046" s="4">
        <v>38.49</v>
      </c>
      <c r="G1046" s="1" t="s">
        <v>3012</v>
      </c>
      <c r="H1046" s="1" t="s">
        <v>3067</v>
      </c>
      <c r="I1046" s="1" t="s">
        <v>3073</v>
      </c>
      <c r="J1046" s="1" t="s">
        <v>4119</v>
      </c>
      <c r="K1046" s="1">
        <v>4</v>
      </c>
      <c r="L1046" s="1" t="s">
        <v>4276</v>
      </c>
      <c r="M1046" s="1" t="s">
        <v>4279</v>
      </c>
      <c r="N1046" s="1">
        <v>38.49</v>
      </c>
      <c r="O1046" s="1">
        <f>(ordersTable[[#This Row],[Quantity]]*ordersTable[[#This Row],[UnitPrice]])-ordersTable[[#This Row],[TotalPrice]]</f>
        <v>0</v>
      </c>
    </row>
    <row r="1047" spans="1:15" x14ac:dyDescent="0.3">
      <c r="A1047" s="1" t="s">
        <v>1059</v>
      </c>
      <c r="B1047" s="2">
        <v>45555</v>
      </c>
      <c r="C1047" s="3" t="s">
        <v>2251</v>
      </c>
      <c r="D1047" s="1" t="s">
        <v>2408</v>
      </c>
      <c r="E1047" s="5">
        <v>5</v>
      </c>
      <c r="F1047" s="4">
        <v>316.39999999999998</v>
      </c>
      <c r="G1047" s="1" t="s">
        <v>3013</v>
      </c>
      <c r="H1047" s="1" t="s">
        <v>3068</v>
      </c>
      <c r="I1047" s="1" t="s">
        <v>3072</v>
      </c>
      <c r="J1047" s="1" t="s">
        <v>4120</v>
      </c>
      <c r="K1047" s="1">
        <v>7</v>
      </c>
      <c r="M1047" s="1" t="s">
        <v>4280</v>
      </c>
      <c r="N1047" s="1">
        <v>1582</v>
      </c>
      <c r="O1047" s="1">
        <f>(ordersTable[[#This Row],[Quantity]]*ordersTable[[#This Row],[UnitPrice]])-ordersTable[[#This Row],[TotalPrice]]</f>
        <v>0</v>
      </c>
    </row>
    <row r="1048" spans="1:15" x14ac:dyDescent="0.3">
      <c r="A1048" s="1" t="s">
        <v>1060</v>
      </c>
      <c r="B1048" s="2">
        <v>45572</v>
      </c>
      <c r="C1048" s="3" t="s">
        <v>2252</v>
      </c>
      <c r="D1048" s="1" t="s">
        <v>2405</v>
      </c>
      <c r="E1048" s="5">
        <v>3</v>
      </c>
      <c r="F1048" s="4">
        <v>547.15</v>
      </c>
      <c r="G1048" s="1" t="s">
        <v>3014</v>
      </c>
      <c r="H1048" s="1" t="s">
        <v>3066</v>
      </c>
      <c r="I1048" s="1" t="s">
        <v>3070</v>
      </c>
      <c r="J1048" s="1" t="s">
        <v>4121</v>
      </c>
      <c r="K1048" s="1">
        <v>4</v>
      </c>
      <c r="L1048" s="1" t="s">
        <v>4277</v>
      </c>
      <c r="M1048" s="1" t="s">
        <v>4278</v>
      </c>
      <c r="N1048" s="1">
        <v>1641.45</v>
      </c>
      <c r="O1048" s="1">
        <f>(ordersTable[[#This Row],[Quantity]]*ordersTable[[#This Row],[UnitPrice]])-ordersTable[[#This Row],[TotalPrice]]</f>
        <v>0</v>
      </c>
    </row>
    <row r="1049" spans="1:15" x14ac:dyDescent="0.3">
      <c r="A1049" s="1" t="s">
        <v>1061</v>
      </c>
      <c r="B1049" s="2">
        <v>45100</v>
      </c>
      <c r="C1049" s="3" t="s">
        <v>2253</v>
      </c>
      <c r="D1049" s="1" t="s">
        <v>2406</v>
      </c>
      <c r="E1049" s="5">
        <v>4</v>
      </c>
      <c r="F1049" s="4">
        <v>540.34</v>
      </c>
      <c r="G1049" s="1" t="s">
        <v>3015</v>
      </c>
      <c r="H1049" s="1" t="s">
        <v>3068</v>
      </c>
      <c r="I1049" s="1" t="s">
        <v>3070</v>
      </c>
      <c r="J1049" s="1" t="s">
        <v>4122</v>
      </c>
      <c r="K1049" s="1">
        <v>6</v>
      </c>
      <c r="L1049" s="1" t="s">
        <v>4277</v>
      </c>
      <c r="M1049" s="1" t="s">
        <v>4279</v>
      </c>
      <c r="N1049" s="1">
        <v>2161.36</v>
      </c>
      <c r="O1049" s="1">
        <f>(ordersTable[[#This Row],[Quantity]]*ordersTable[[#This Row],[UnitPrice]])-ordersTable[[#This Row],[TotalPrice]]</f>
        <v>0</v>
      </c>
    </row>
    <row r="1050" spans="1:15" x14ac:dyDescent="0.3">
      <c r="A1050" s="1" t="s">
        <v>1062</v>
      </c>
      <c r="B1050" s="2">
        <v>45544</v>
      </c>
      <c r="C1050" s="3" t="s">
        <v>2254</v>
      </c>
      <c r="D1050" s="1" t="s">
        <v>2403</v>
      </c>
      <c r="E1050" s="5">
        <v>4</v>
      </c>
      <c r="F1050" s="4">
        <v>73.650000000000006</v>
      </c>
      <c r="G1050" s="1" t="s">
        <v>3016</v>
      </c>
      <c r="H1050" s="1" t="s">
        <v>3065</v>
      </c>
      <c r="I1050" s="1" t="s">
        <v>3070</v>
      </c>
      <c r="J1050" s="1" t="s">
        <v>4123</v>
      </c>
      <c r="K1050" s="1">
        <v>9</v>
      </c>
      <c r="M1050" s="1" t="s">
        <v>4282</v>
      </c>
      <c r="N1050" s="1">
        <v>294.60000000000002</v>
      </c>
      <c r="O1050" s="1">
        <f>(ordersTable[[#This Row],[Quantity]]*ordersTable[[#This Row],[UnitPrice]])-ordersTable[[#This Row],[TotalPrice]]</f>
        <v>0</v>
      </c>
    </row>
    <row r="1051" spans="1:15" x14ac:dyDescent="0.3">
      <c r="A1051" s="1" t="s">
        <v>1063</v>
      </c>
      <c r="B1051" s="2">
        <v>45491</v>
      </c>
      <c r="C1051" s="3" t="s">
        <v>2255</v>
      </c>
      <c r="D1051" s="1" t="s">
        <v>2409</v>
      </c>
      <c r="E1051" s="5">
        <v>5</v>
      </c>
      <c r="F1051" s="4">
        <v>391.86</v>
      </c>
      <c r="G1051" s="1" t="s">
        <v>2430</v>
      </c>
      <c r="H1051" s="1" t="s">
        <v>3067</v>
      </c>
      <c r="I1051" s="1" t="s">
        <v>3070</v>
      </c>
      <c r="J1051" s="1" t="s">
        <v>4124</v>
      </c>
      <c r="K1051" s="1">
        <v>6</v>
      </c>
      <c r="M1051" s="1" t="s">
        <v>4278</v>
      </c>
      <c r="N1051" s="1">
        <v>1959.3</v>
      </c>
      <c r="O1051" s="1">
        <f>(ordersTable[[#This Row],[Quantity]]*ordersTable[[#This Row],[UnitPrice]])-ordersTable[[#This Row],[TotalPrice]]</f>
        <v>0</v>
      </c>
    </row>
    <row r="1052" spans="1:15" x14ac:dyDescent="0.3">
      <c r="A1052" s="1" t="s">
        <v>1064</v>
      </c>
      <c r="B1052" s="2">
        <v>45158</v>
      </c>
      <c r="C1052" s="3" t="s">
        <v>2256</v>
      </c>
      <c r="D1052" s="1" t="s">
        <v>2408</v>
      </c>
      <c r="E1052" s="5">
        <v>5</v>
      </c>
      <c r="F1052" s="4">
        <v>69.7</v>
      </c>
      <c r="G1052" s="1" t="s">
        <v>2805</v>
      </c>
      <c r="H1052" s="1" t="s">
        <v>3066</v>
      </c>
      <c r="I1052" s="1" t="s">
        <v>3072</v>
      </c>
      <c r="J1052" s="1" t="s">
        <v>4125</v>
      </c>
      <c r="K1052" s="1">
        <v>9</v>
      </c>
      <c r="M1052" s="1" t="s">
        <v>4278</v>
      </c>
      <c r="N1052" s="1">
        <v>348.5</v>
      </c>
      <c r="O1052" s="1">
        <f>(ordersTable[[#This Row],[Quantity]]*ordersTable[[#This Row],[UnitPrice]])-ordersTable[[#This Row],[TotalPrice]]</f>
        <v>0</v>
      </c>
    </row>
    <row r="1053" spans="1:15" x14ac:dyDescent="0.3">
      <c r="A1053" s="1" t="s">
        <v>1065</v>
      </c>
      <c r="B1053" s="2">
        <v>45721</v>
      </c>
      <c r="C1053" s="3" t="s">
        <v>2257</v>
      </c>
      <c r="D1053" s="1" t="s">
        <v>2403</v>
      </c>
      <c r="E1053" s="5">
        <v>5</v>
      </c>
      <c r="F1053" s="4">
        <v>26.43</v>
      </c>
      <c r="G1053" s="1" t="s">
        <v>3017</v>
      </c>
      <c r="H1053" s="1" t="s">
        <v>3068</v>
      </c>
      <c r="I1053" s="1" t="s">
        <v>3070</v>
      </c>
      <c r="J1053" s="1" t="s">
        <v>4126</v>
      </c>
      <c r="K1053" s="1">
        <v>5</v>
      </c>
      <c r="L1053" s="1" t="s">
        <v>4276</v>
      </c>
      <c r="M1053" s="1" t="s">
        <v>4281</v>
      </c>
      <c r="N1053" s="1">
        <v>132.15</v>
      </c>
      <c r="O1053" s="1">
        <f>(ordersTable[[#This Row],[Quantity]]*ordersTable[[#This Row],[UnitPrice]])-ordersTable[[#This Row],[TotalPrice]]</f>
        <v>0</v>
      </c>
    </row>
    <row r="1054" spans="1:15" x14ac:dyDescent="0.3">
      <c r="A1054" s="1" t="s">
        <v>1066</v>
      </c>
      <c r="B1054" s="2">
        <v>45180</v>
      </c>
      <c r="C1054" s="3" t="s">
        <v>2258</v>
      </c>
      <c r="D1054" s="1" t="s">
        <v>2405</v>
      </c>
      <c r="E1054" s="5">
        <v>1</v>
      </c>
      <c r="F1054" s="4">
        <v>531.74</v>
      </c>
      <c r="G1054" s="1" t="s">
        <v>3018</v>
      </c>
      <c r="H1054" s="1" t="s">
        <v>3066</v>
      </c>
      <c r="I1054" s="1" t="s">
        <v>3070</v>
      </c>
      <c r="J1054" s="1" t="s">
        <v>4127</v>
      </c>
      <c r="K1054" s="1">
        <v>1</v>
      </c>
      <c r="L1054" s="1" t="s">
        <v>4277</v>
      </c>
      <c r="M1054" s="1" t="s">
        <v>4282</v>
      </c>
      <c r="N1054" s="1">
        <v>531.74</v>
      </c>
      <c r="O1054" s="1">
        <f>(ordersTable[[#This Row],[Quantity]]*ordersTable[[#This Row],[UnitPrice]])-ordersTable[[#This Row],[TotalPrice]]</f>
        <v>0</v>
      </c>
    </row>
    <row r="1055" spans="1:15" x14ac:dyDescent="0.3">
      <c r="A1055" s="1" t="s">
        <v>1067</v>
      </c>
      <c r="B1055" s="2">
        <v>45550</v>
      </c>
      <c r="C1055" s="3" t="s">
        <v>2259</v>
      </c>
      <c r="D1055" s="1" t="s">
        <v>2404</v>
      </c>
      <c r="E1055" s="5">
        <v>2</v>
      </c>
      <c r="F1055" s="4">
        <v>496.62</v>
      </c>
      <c r="G1055" s="1" t="s">
        <v>2984</v>
      </c>
      <c r="H1055" s="1" t="s">
        <v>3066</v>
      </c>
      <c r="I1055" s="1" t="s">
        <v>3074</v>
      </c>
      <c r="J1055" s="1" t="s">
        <v>4128</v>
      </c>
      <c r="K1055" s="1">
        <v>2</v>
      </c>
      <c r="L1055" s="1" t="s">
        <v>4275</v>
      </c>
      <c r="M1055" s="1" t="s">
        <v>4278</v>
      </c>
      <c r="N1055" s="1">
        <v>993.24</v>
      </c>
      <c r="O1055" s="1">
        <f>(ordersTable[[#This Row],[Quantity]]*ordersTable[[#This Row],[UnitPrice]])-ordersTable[[#This Row],[TotalPrice]]</f>
        <v>0</v>
      </c>
    </row>
    <row r="1056" spans="1:15" x14ac:dyDescent="0.3">
      <c r="A1056" s="1" t="s">
        <v>1068</v>
      </c>
      <c r="B1056" s="2">
        <v>45259</v>
      </c>
      <c r="C1056" s="3" t="s">
        <v>2260</v>
      </c>
      <c r="D1056" s="1" t="s">
        <v>2407</v>
      </c>
      <c r="E1056" s="5">
        <v>1</v>
      </c>
      <c r="F1056" s="4">
        <v>660.66</v>
      </c>
      <c r="G1056" s="1" t="s">
        <v>2490</v>
      </c>
      <c r="H1056" s="1" t="s">
        <v>3065</v>
      </c>
      <c r="I1056" s="1" t="s">
        <v>3073</v>
      </c>
      <c r="J1056" s="1" t="s">
        <v>4129</v>
      </c>
      <c r="K1056" s="1">
        <v>3</v>
      </c>
      <c r="L1056" s="1" t="s">
        <v>4277</v>
      </c>
      <c r="M1056" s="1" t="s">
        <v>4278</v>
      </c>
      <c r="N1056" s="1">
        <v>660.66</v>
      </c>
      <c r="O1056" s="1">
        <f>(ordersTable[[#This Row],[Quantity]]*ordersTable[[#This Row],[UnitPrice]])-ordersTable[[#This Row],[TotalPrice]]</f>
        <v>0</v>
      </c>
    </row>
    <row r="1057" spans="1:15" x14ac:dyDescent="0.3">
      <c r="A1057" s="1" t="s">
        <v>1069</v>
      </c>
      <c r="B1057" s="2">
        <v>45222</v>
      </c>
      <c r="C1057" s="3" t="s">
        <v>2261</v>
      </c>
      <c r="D1057" s="1" t="s">
        <v>2403</v>
      </c>
      <c r="E1057" s="5">
        <v>4</v>
      </c>
      <c r="F1057" s="4">
        <v>274.82</v>
      </c>
      <c r="G1057" s="1" t="s">
        <v>2817</v>
      </c>
      <c r="H1057" s="1" t="s">
        <v>3065</v>
      </c>
      <c r="I1057" s="1" t="s">
        <v>3073</v>
      </c>
      <c r="J1057" s="1" t="s">
        <v>4130</v>
      </c>
      <c r="K1057" s="1">
        <v>9</v>
      </c>
      <c r="L1057" s="1" t="s">
        <v>4277</v>
      </c>
      <c r="M1057" s="1" t="s">
        <v>4280</v>
      </c>
      <c r="N1057" s="1">
        <v>1099.28</v>
      </c>
      <c r="O1057" s="1">
        <f>(ordersTable[[#This Row],[Quantity]]*ordersTable[[#This Row],[UnitPrice]])-ordersTable[[#This Row],[TotalPrice]]</f>
        <v>0</v>
      </c>
    </row>
    <row r="1058" spans="1:15" x14ac:dyDescent="0.3">
      <c r="A1058" s="1" t="s">
        <v>1070</v>
      </c>
      <c r="B1058" s="2">
        <v>45457</v>
      </c>
      <c r="C1058" s="3" t="s">
        <v>2262</v>
      </c>
      <c r="D1058" s="1" t="s">
        <v>2404</v>
      </c>
      <c r="E1058" s="5">
        <v>2</v>
      </c>
      <c r="F1058" s="4">
        <v>486.35</v>
      </c>
      <c r="G1058" s="1" t="s">
        <v>2566</v>
      </c>
      <c r="H1058" s="1" t="s">
        <v>3066</v>
      </c>
      <c r="I1058" s="1" t="s">
        <v>3074</v>
      </c>
      <c r="J1058" s="1" t="s">
        <v>4131</v>
      </c>
      <c r="K1058" s="1">
        <v>6</v>
      </c>
      <c r="L1058" s="1" t="s">
        <v>4275</v>
      </c>
      <c r="M1058" s="1" t="s">
        <v>4279</v>
      </c>
      <c r="N1058" s="1">
        <v>972.7</v>
      </c>
      <c r="O1058" s="1">
        <f>(ordersTable[[#This Row],[Quantity]]*ordersTable[[#This Row],[UnitPrice]])-ordersTable[[#This Row],[TotalPrice]]</f>
        <v>0</v>
      </c>
    </row>
    <row r="1059" spans="1:15" x14ac:dyDescent="0.3">
      <c r="A1059" s="1" t="s">
        <v>1071</v>
      </c>
      <c r="B1059" s="2">
        <v>45559</v>
      </c>
      <c r="C1059" s="3" t="s">
        <v>2263</v>
      </c>
      <c r="D1059" s="1" t="s">
        <v>2408</v>
      </c>
      <c r="E1059" s="5">
        <v>3</v>
      </c>
      <c r="F1059" s="4">
        <v>428.88</v>
      </c>
      <c r="G1059" s="1" t="s">
        <v>2563</v>
      </c>
      <c r="H1059" s="1" t="s">
        <v>3065</v>
      </c>
      <c r="I1059" s="1" t="s">
        <v>3070</v>
      </c>
      <c r="J1059" s="1" t="s">
        <v>4132</v>
      </c>
      <c r="K1059" s="1">
        <v>3</v>
      </c>
      <c r="L1059" s="1" t="s">
        <v>4277</v>
      </c>
      <c r="M1059" s="1" t="s">
        <v>4281</v>
      </c>
      <c r="N1059" s="1">
        <v>1286.6400000000001</v>
      </c>
      <c r="O1059" s="1">
        <f>(ordersTable[[#This Row],[Quantity]]*ordersTable[[#This Row],[UnitPrice]])-ordersTable[[#This Row],[TotalPrice]]</f>
        <v>0</v>
      </c>
    </row>
    <row r="1060" spans="1:15" x14ac:dyDescent="0.3">
      <c r="A1060" s="1" t="s">
        <v>1072</v>
      </c>
      <c r="B1060" s="2">
        <v>45177</v>
      </c>
      <c r="C1060" s="3" t="s">
        <v>2264</v>
      </c>
      <c r="D1060" s="1" t="s">
        <v>2409</v>
      </c>
      <c r="E1060" s="5">
        <v>2</v>
      </c>
      <c r="F1060" s="4">
        <v>412.14</v>
      </c>
      <c r="G1060" s="1" t="s">
        <v>2640</v>
      </c>
      <c r="H1060" s="1" t="s">
        <v>3067</v>
      </c>
      <c r="I1060" s="1" t="s">
        <v>3072</v>
      </c>
      <c r="J1060" s="1" t="s">
        <v>4133</v>
      </c>
      <c r="K1060" s="1">
        <v>2</v>
      </c>
      <c r="L1060" s="1" t="s">
        <v>4276</v>
      </c>
      <c r="M1060" s="1" t="s">
        <v>4278</v>
      </c>
      <c r="N1060" s="1">
        <v>824.28</v>
      </c>
      <c r="O1060" s="1">
        <f>(ordersTable[[#This Row],[Quantity]]*ordersTable[[#This Row],[UnitPrice]])-ordersTable[[#This Row],[TotalPrice]]</f>
        <v>0</v>
      </c>
    </row>
    <row r="1061" spans="1:15" x14ac:dyDescent="0.3">
      <c r="A1061" s="1" t="s">
        <v>1073</v>
      </c>
      <c r="B1061" s="2">
        <v>45557</v>
      </c>
      <c r="C1061" s="3" t="s">
        <v>2265</v>
      </c>
      <c r="D1061" s="1" t="s">
        <v>2409</v>
      </c>
      <c r="E1061" s="5">
        <v>1</v>
      </c>
      <c r="F1061" s="4">
        <v>265.64</v>
      </c>
      <c r="G1061" s="1" t="s">
        <v>3019</v>
      </c>
      <c r="H1061" s="1" t="s">
        <v>3067</v>
      </c>
      <c r="I1061" s="1" t="s">
        <v>3072</v>
      </c>
      <c r="J1061" s="1" t="s">
        <v>4134</v>
      </c>
      <c r="K1061" s="1">
        <v>3</v>
      </c>
      <c r="L1061" s="1" t="s">
        <v>4277</v>
      </c>
      <c r="M1061" s="1" t="s">
        <v>4278</v>
      </c>
      <c r="N1061" s="1">
        <v>265.64</v>
      </c>
      <c r="O1061" s="1">
        <f>(ordersTable[[#This Row],[Quantity]]*ordersTable[[#This Row],[UnitPrice]])-ordersTable[[#This Row],[TotalPrice]]</f>
        <v>0</v>
      </c>
    </row>
    <row r="1062" spans="1:15" x14ac:dyDescent="0.3">
      <c r="A1062" s="1" t="s">
        <v>1074</v>
      </c>
      <c r="B1062" s="2">
        <v>45419</v>
      </c>
      <c r="C1062" s="3" t="s">
        <v>2266</v>
      </c>
      <c r="D1062" s="1" t="s">
        <v>2405</v>
      </c>
      <c r="E1062" s="5">
        <v>2</v>
      </c>
      <c r="F1062" s="4">
        <v>273.43</v>
      </c>
      <c r="G1062" s="1" t="s">
        <v>2702</v>
      </c>
      <c r="H1062" s="1" t="s">
        <v>3069</v>
      </c>
      <c r="I1062" s="1" t="s">
        <v>3070</v>
      </c>
      <c r="J1062" s="1" t="s">
        <v>4135</v>
      </c>
      <c r="K1062" s="1">
        <v>7</v>
      </c>
      <c r="L1062" s="1" t="s">
        <v>4277</v>
      </c>
      <c r="M1062" s="1" t="s">
        <v>4279</v>
      </c>
      <c r="N1062" s="1">
        <v>546.86</v>
      </c>
      <c r="O1062" s="1">
        <f>(ordersTable[[#This Row],[Quantity]]*ordersTable[[#This Row],[UnitPrice]])-ordersTable[[#This Row],[TotalPrice]]</f>
        <v>0</v>
      </c>
    </row>
    <row r="1063" spans="1:15" x14ac:dyDescent="0.3">
      <c r="A1063" s="1" t="s">
        <v>1075</v>
      </c>
      <c r="B1063" s="2">
        <v>45686</v>
      </c>
      <c r="C1063" s="3" t="s">
        <v>2267</v>
      </c>
      <c r="D1063" s="1" t="s">
        <v>2408</v>
      </c>
      <c r="E1063" s="5">
        <v>5</v>
      </c>
      <c r="F1063" s="4">
        <v>131.69999999999999</v>
      </c>
      <c r="G1063" s="1" t="s">
        <v>2442</v>
      </c>
      <c r="H1063" s="1" t="s">
        <v>3069</v>
      </c>
      <c r="I1063" s="1" t="s">
        <v>3070</v>
      </c>
      <c r="J1063" s="1" t="s">
        <v>4136</v>
      </c>
      <c r="K1063" s="1">
        <v>8</v>
      </c>
      <c r="L1063" s="1" t="s">
        <v>4276</v>
      </c>
      <c r="M1063" s="1" t="s">
        <v>4282</v>
      </c>
      <c r="N1063" s="1">
        <v>658.5</v>
      </c>
      <c r="O1063" s="1">
        <f>(ordersTable[[#This Row],[Quantity]]*ordersTable[[#This Row],[UnitPrice]])-ordersTable[[#This Row],[TotalPrice]]</f>
        <v>0</v>
      </c>
    </row>
    <row r="1064" spans="1:15" x14ac:dyDescent="0.3">
      <c r="A1064" s="1" t="s">
        <v>1076</v>
      </c>
      <c r="B1064" s="2">
        <v>45161</v>
      </c>
      <c r="C1064" s="3" t="s">
        <v>2268</v>
      </c>
      <c r="D1064" s="1" t="s">
        <v>2406</v>
      </c>
      <c r="E1064" s="5">
        <v>5</v>
      </c>
      <c r="F1064" s="4">
        <v>85.52</v>
      </c>
      <c r="G1064" s="1" t="s">
        <v>2676</v>
      </c>
      <c r="H1064" s="1" t="s">
        <v>3068</v>
      </c>
      <c r="I1064" s="1" t="s">
        <v>3071</v>
      </c>
      <c r="J1064" s="1" t="s">
        <v>4137</v>
      </c>
      <c r="K1064" s="1">
        <v>5</v>
      </c>
      <c r="M1064" s="1" t="s">
        <v>4281</v>
      </c>
      <c r="N1064" s="1">
        <v>427.6</v>
      </c>
      <c r="O1064" s="1">
        <f>(ordersTable[[#This Row],[Quantity]]*ordersTable[[#This Row],[UnitPrice]])-ordersTable[[#This Row],[TotalPrice]]</f>
        <v>0</v>
      </c>
    </row>
    <row r="1065" spans="1:15" x14ac:dyDescent="0.3">
      <c r="A1065" s="1" t="s">
        <v>1077</v>
      </c>
      <c r="B1065" s="2">
        <v>45462</v>
      </c>
      <c r="C1065" s="3" t="s">
        <v>2269</v>
      </c>
      <c r="D1065" s="1" t="s">
        <v>2409</v>
      </c>
      <c r="E1065" s="5">
        <v>2</v>
      </c>
      <c r="F1065" s="4">
        <v>320.68</v>
      </c>
      <c r="G1065" s="1" t="s">
        <v>2564</v>
      </c>
      <c r="H1065" s="1" t="s">
        <v>3067</v>
      </c>
      <c r="I1065" s="1" t="s">
        <v>3070</v>
      </c>
      <c r="J1065" s="1" t="s">
        <v>4138</v>
      </c>
      <c r="K1065" s="1">
        <v>5</v>
      </c>
      <c r="L1065" s="1" t="s">
        <v>4276</v>
      </c>
      <c r="M1065" s="1" t="s">
        <v>4279</v>
      </c>
      <c r="N1065" s="1">
        <v>641.36</v>
      </c>
      <c r="O1065" s="1">
        <f>(ordersTable[[#This Row],[Quantity]]*ordersTable[[#This Row],[UnitPrice]])-ordersTable[[#This Row],[TotalPrice]]</f>
        <v>0</v>
      </c>
    </row>
    <row r="1066" spans="1:15" x14ac:dyDescent="0.3">
      <c r="A1066" s="1" t="s">
        <v>1078</v>
      </c>
      <c r="B1066" s="2">
        <v>45700</v>
      </c>
      <c r="C1066" s="3" t="s">
        <v>2270</v>
      </c>
      <c r="D1066" s="1" t="s">
        <v>2408</v>
      </c>
      <c r="E1066" s="5">
        <v>4</v>
      </c>
      <c r="F1066" s="4">
        <v>198.81</v>
      </c>
      <c r="G1066" s="1" t="s">
        <v>2646</v>
      </c>
      <c r="H1066" s="1" t="s">
        <v>3069</v>
      </c>
      <c r="I1066" s="1" t="s">
        <v>3072</v>
      </c>
      <c r="J1066" s="1" t="s">
        <v>4139</v>
      </c>
      <c r="K1066" s="1">
        <v>9</v>
      </c>
      <c r="L1066" s="1" t="s">
        <v>4276</v>
      </c>
      <c r="M1066" s="1" t="s">
        <v>4279</v>
      </c>
      <c r="N1066" s="1">
        <v>795.24</v>
      </c>
      <c r="O1066" s="1">
        <f>(ordersTable[[#This Row],[Quantity]]*ordersTable[[#This Row],[UnitPrice]])-ordersTable[[#This Row],[TotalPrice]]</f>
        <v>0</v>
      </c>
    </row>
    <row r="1067" spans="1:15" x14ac:dyDescent="0.3">
      <c r="A1067" s="1" t="s">
        <v>1079</v>
      </c>
      <c r="B1067" s="2">
        <v>45229</v>
      </c>
      <c r="C1067" s="3" t="s">
        <v>2271</v>
      </c>
      <c r="D1067" s="1" t="s">
        <v>2407</v>
      </c>
      <c r="E1067" s="5">
        <v>5</v>
      </c>
      <c r="F1067" s="4">
        <v>666.8</v>
      </c>
      <c r="G1067" s="1" t="s">
        <v>2746</v>
      </c>
      <c r="H1067" s="1" t="s">
        <v>3065</v>
      </c>
      <c r="I1067" s="1" t="s">
        <v>3073</v>
      </c>
      <c r="J1067" s="1" t="s">
        <v>4140</v>
      </c>
      <c r="K1067" s="1">
        <v>7</v>
      </c>
      <c r="L1067" s="1" t="s">
        <v>4275</v>
      </c>
      <c r="M1067" s="1" t="s">
        <v>4279</v>
      </c>
      <c r="N1067" s="1">
        <v>3334</v>
      </c>
      <c r="O1067" s="1">
        <f>(ordersTable[[#This Row],[Quantity]]*ordersTable[[#This Row],[UnitPrice]])-ordersTable[[#This Row],[TotalPrice]]</f>
        <v>0</v>
      </c>
    </row>
    <row r="1068" spans="1:15" x14ac:dyDescent="0.3">
      <c r="A1068" s="1" t="s">
        <v>1080</v>
      </c>
      <c r="B1068" s="2">
        <v>45280</v>
      </c>
      <c r="C1068" s="3" t="s">
        <v>2272</v>
      </c>
      <c r="D1068" s="1" t="s">
        <v>2409</v>
      </c>
      <c r="E1068" s="5">
        <v>1</v>
      </c>
      <c r="F1068" s="4">
        <v>355.09</v>
      </c>
      <c r="G1068" s="1" t="s">
        <v>2878</v>
      </c>
      <c r="H1068" s="1" t="s">
        <v>3065</v>
      </c>
      <c r="I1068" s="1" t="s">
        <v>3071</v>
      </c>
      <c r="J1068" s="1" t="s">
        <v>4141</v>
      </c>
      <c r="K1068" s="1">
        <v>5</v>
      </c>
      <c r="L1068" s="1" t="s">
        <v>4275</v>
      </c>
      <c r="M1068" s="1" t="s">
        <v>4278</v>
      </c>
      <c r="N1068" s="1">
        <v>355.09</v>
      </c>
      <c r="O1068" s="1">
        <f>(ordersTable[[#This Row],[Quantity]]*ordersTable[[#This Row],[UnitPrice]])-ordersTable[[#This Row],[TotalPrice]]</f>
        <v>0</v>
      </c>
    </row>
    <row r="1069" spans="1:15" x14ac:dyDescent="0.3">
      <c r="A1069" s="1" t="s">
        <v>1081</v>
      </c>
      <c r="B1069" s="2">
        <v>45083</v>
      </c>
      <c r="C1069" s="3" t="s">
        <v>2273</v>
      </c>
      <c r="D1069" s="1" t="s">
        <v>2404</v>
      </c>
      <c r="E1069" s="5">
        <v>2</v>
      </c>
      <c r="F1069" s="4">
        <v>316.2</v>
      </c>
      <c r="G1069" s="1" t="s">
        <v>2475</v>
      </c>
      <c r="H1069" s="1" t="s">
        <v>3066</v>
      </c>
      <c r="I1069" s="1" t="s">
        <v>3072</v>
      </c>
      <c r="J1069" s="1" t="s">
        <v>4142</v>
      </c>
      <c r="K1069" s="1">
        <v>2</v>
      </c>
      <c r="M1069" s="1" t="s">
        <v>4278</v>
      </c>
      <c r="N1069" s="1">
        <v>632.4</v>
      </c>
      <c r="O1069" s="1">
        <f>(ordersTable[[#This Row],[Quantity]]*ordersTable[[#This Row],[UnitPrice]])-ordersTable[[#This Row],[TotalPrice]]</f>
        <v>0</v>
      </c>
    </row>
    <row r="1070" spans="1:15" x14ac:dyDescent="0.3">
      <c r="A1070" s="1" t="s">
        <v>1082</v>
      </c>
      <c r="B1070" s="2">
        <v>45507</v>
      </c>
      <c r="C1070" s="3" t="s">
        <v>2274</v>
      </c>
      <c r="D1070" s="1" t="s">
        <v>2408</v>
      </c>
      <c r="E1070" s="5">
        <v>1</v>
      </c>
      <c r="F1070" s="4">
        <v>133.38999999999999</v>
      </c>
      <c r="G1070" s="1" t="s">
        <v>3020</v>
      </c>
      <c r="H1070" s="1" t="s">
        <v>3065</v>
      </c>
      <c r="I1070" s="1" t="s">
        <v>3070</v>
      </c>
      <c r="J1070" s="1" t="s">
        <v>4143</v>
      </c>
      <c r="K1070" s="1">
        <v>2</v>
      </c>
      <c r="L1070" s="1" t="s">
        <v>4275</v>
      </c>
      <c r="M1070" s="1" t="s">
        <v>4279</v>
      </c>
      <c r="N1070" s="1">
        <v>133.38999999999999</v>
      </c>
      <c r="O1070" s="1">
        <f>(ordersTable[[#This Row],[Quantity]]*ordersTable[[#This Row],[UnitPrice]])-ordersTable[[#This Row],[TotalPrice]]</f>
        <v>0</v>
      </c>
    </row>
    <row r="1071" spans="1:15" x14ac:dyDescent="0.3">
      <c r="A1071" s="1" t="s">
        <v>1083</v>
      </c>
      <c r="B1071" s="2">
        <v>44982</v>
      </c>
      <c r="C1071" s="3" t="s">
        <v>2275</v>
      </c>
      <c r="D1071" s="1" t="s">
        <v>2403</v>
      </c>
      <c r="E1071" s="5">
        <v>1</v>
      </c>
      <c r="F1071" s="4">
        <v>454.23</v>
      </c>
      <c r="G1071" s="1" t="s">
        <v>2617</v>
      </c>
      <c r="H1071" s="1" t="s">
        <v>3068</v>
      </c>
      <c r="I1071" s="1" t="s">
        <v>3072</v>
      </c>
      <c r="J1071" s="1" t="s">
        <v>4144</v>
      </c>
      <c r="K1071" s="1">
        <v>3</v>
      </c>
      <c r="M1071" s="1" t="s">
        <v>4281</v>
      </c>
      <c r="N1071" s="1">
        <v>454.23</v>
      </c>
      <c r="O1071" s="1">
        <f>(ordersTable[[#This Row],[Quantity]]*ordersTable[[#This Row],[UnitPrice]])-ordersTable[[#This Row],[TotalPrice]]</f>
        <v>0</v>
      </c>
    </row>
    <row r="1072" spans="1:15" x14ac:dyDescent="0.3">
      <c r="A1072" s="1" t="s">
        <v>1084</v>
      </c>
      <c r="B1072" s="2">
        <v>45541</v>
      </c>
      <c r="C1072" s="3" t="s">
        <v>2276</v>
      </c>
      <c r="D1072" s="1" t="s">
        <v>2409</v>
      </c>
      <c r="E1072" s="5">
        <v>4</v>
      </c>
      <c r="F1072" s="4">
        <v>491.29</v>
      </c>
      <c r="G1072" s="1" t="s">
        <v>2485</v>
      </c>
      <c r="H1072" s="1" t="s">
        <v>3065</v>
      </c>
      <c r="I1072" s="1" t="s">
        <v>3074</v>
      </c>
      <c r="J1072" s="1" t="s">
        <v>4145</v>
      </c>
      <c r="K1072" s="1">
        <v>6</v>
      </c>
      <c r="M1072" s="1" t="s">
        <v>4280</v>
      </c>
      <c r="N1072" s="1">
        <v>1965.16</v>
      </c>
      <c r="O1072" s="1">
        <f>(ordersTable[[#This Row],[Quantity]]*ordersTable[[#This Row],[UnitPrice]])-ordersTable[[#This Row],[TotalPrice]]</f>
        <v>0</v>
      </c>
    </row>
    <row r="1073" spans="1:15" x14ac:dyDescent="0.3">
      <c r="A1073" s="1" t="s">
        <v>1085</v>
      </c>
      <c r="B1073" s="2">
        <v>45832</v>
      </c>
      <c r="C1073" s="3" t="s">
        <v>2277</v>
      </c>
      <c r="D1073" s="1" t="s">
        <v>2404</v>
      </c>
      <c r="E1073" s="5">
        <v>2</v>
      </c>
      <c r="F1073" s="4">
        <v>255.14</v>
      </c>
      <c r="G1073" s="1" t="s">
        <v>2717</v>
      </c>
      <c r="H1073" s="1" t="s">
        <v>3069</v>
      </c>
      <c r="I1073" s="1" t="s">
        <v>3070</v>
      </c>
      <c r="J1073" s="1" t="s">
        <v>4146</v>
      </c>
      <c r="K1073" s="1">
        <v>2</v>
      </c>
      <c r="M1073" s="1" t="s">
        <v>4282</v>
      </c>
      <c r="N1073" s="1">
        <v>510.28</v>
      </c>
      <c r="O1073" s="1">
        <f>(ordersTable[[#This Row],[Quantity]]*ordersTable[[#This Row],[UnitPrice]])-ordersTable[[#This Row],[TotalPrice]]</f>
        <v>0</v>
      </c>
    </row>
    <row r="1074" spans="1:15" x14ac:dyDescent="0.3">
      <c r="A1074" s="1" t="s">
        <v>1086</v>
      </c>
      <c r="B1074" s="2">
        <v>44983</v>
      </c>
      <c r="C1074" s="3" t="s">
        <v>2278</v>
      </c>
      <c r="D1074" s="1" t="s">
        <v>2403</v>
      </c>
      <c r="E1074" s="5">
        <v>1</v>
      </c>
      <c r="F1074" s="4">
        <v>392.61</v>
      </c>
      <c r="G1074" s="1" t="s">
        <v>2635</v>
      </c>
      <c r="H1074" s="1" t="s">
        <v>3068</v>
      </c>
      <c r="I1074" s="1" t="s">
        <v>3071</v>
      </c>
      <c r="J1074" s="1" t="s">
        <v>4147</v>
      </c>
      <c r="K1074" s="1">
        <v>4</v>
      </c>
      <c r="L1074" s="1" t="s">
        <v>4275</v>
      </c>
      <c r="M1074" s="1" t="s">
        <v>4279</v>
      </c>
      <c r="N1074" s="1">
        <v>392.61</v>
      </c>
      <c r="O1074" s="1">
        <f>(ordersTable[[#This Row],[Quantity]]*ordersTable[[#This Row],[UnitPrice]])-ordersTable[[#This Row],[TotalPrice]]</f>
        <v>0</v>
      </c>
    </row>
    <row r="1075" spans="1:15" x14ac:dyDescent="0.3">
      <c r="A1075" s="1" t="s">
        <v>1087</v>
      </c>
      <c r="B1075" s="2">
        <v>45576</v>
      </c>
      <c r="C1075" s="3" t="s">
        <v>2279</v>
      </c>
      <c r="D1075" s="1" t="s">
        <v>2405</v>
      </c>
      <c r="E1075" s="5">
        <v>4</v>
      </c>
      <c r="F1075" s="4">
        <v>362.06</v>
      </c>
      <c r="G1075" s="1" t="s">
        <v>2631</v>
      </c>
      <c r="H1075" s="1" t="s">
        <v>3065</v>
      </c>
      <c r="I1075" s="1" t="s">
        <v>3072</v>
      </c>
      <c r="J1075" s="1" t="s">
        <v>4148</v>
      </c>
      <c r="K1075" s="1">
        <v>4</v>
      </c>
      <c r="M1075" s="1" t="s">
        <v>4281</v>
      </c>
      <c r="N1075" s="1">
        <v>1448.24</v>
      </c>
      <c r="O1075" s="1">
        <f>(ordersTable[[#This Row],[Quantity]]*ordersTable[[#This Row],[UnitPrice]])-ordersTable[[#This Row],[TotalPrice]]</f>
        <v>0</v>
      </c>
    </row>
    <row r="1076" spans="1:15" x14ac:dyDescent="0.3">
      <c r="A1076" s="1" t="s">
        <v>1088</v>
      </c>
      <c r="B1076" s="2">
        <v>45422</v>
      </c>
      <c r="C1076" s="3" t="s">
        <v>2280</v>
      </c>
      <c r="D1076" s="1" t="s">
        <v>2404</v>
      </c>
      <c r="E1076" s="5">
        <v>1</v>
      </c>
      <c r="F1076" s="4">
        <v>222.73</v>
      </c>
      <c r="G1076" s="1" t="s">
        <v>3021</v>
      </c>
      <c r="H1076" s="1" t="s">
        <v>3066</v>
      </c>
      <c r="I1076" s="1" t="s">
        <v>3072</v>
      </c>
      <c r="J1076" s="1" t="s">
        <v>4149</v>
      </c>
      <c r="K1076" s="1">
        <v>4</v>
      </c>
      <c r="M1076" s="1" t="s">
        <v>4282</v>
      </c>
      <c r="N1076" s="1">
        <v>222.73</v>
      </c>
      <c r="O1076" s="1">
        <f>(ordersTable[[#This Row],[Quantity]]*ordersTable[[#This Row],[UnitPrice]])-ordersTable[[#This Row],[TotalPrice]]</f>
        <v>0</v>
      </c>
    </row>
    <row r="1077" spans="1:15" x14ac:dyDescent="0.3">
      <c r="A1077" s="1" t="s">
        <v>1089</v>
      </c>
      <c r="B1077" s="2">
        <v>45535</v>
      </c>
      <c r="C1077" s="3" t="s">
        <v>2281</v>
      </c>
      <c r="D1077" s="1" t="s">
        <v>2403</v>
      </c>
      <c r="E1077" s="5">
        <v>2</v>
      </c>
      <c r="F1077" s="4">
        <v>552.63</v>
      </c>
      <c r="G1077" s="1" t="s">
        <v>2591</v>
      </c>
      <c r="H1077" s="1" t="s">
        <v>3065</v>
      </c>
      <c r="I1077" s="1" t="s">
        <v>3073</v>
      </c>
      <c r="J1077" s="1" t="s">
        <v>4150</v>
      </c>
      <c r="K1077" s="1">
        <v>7</v>
      </c>
      <c r="L1077" s="1" t="s">
        <v>4277</v>
      </c>
      <c r="M1077" s="1" t="s">
        <v>4278</v>
      </c>
      <c r="N1077" s="1">
        <v>1105.26</v>
      </c>
      <c r="O1077" s="1">
        <f>(ordersTable[[#This Row],[Quantity]]*ordersTable[[#This Row],[UnitPrice]])-ordersTable[[#This Row],[TotalPrice]]</f>
        <v>0</v>
      </c>
    </row>
    <row r="1078" spans="1:15" x14ac:dyDescent="0.3">
      <c r="A1078" s="1" t="s">
        <v>1090</v>
      </c>
      <c r="B1078" s="2">
        <v>45054</v>
      </c>
      <c r="C1078" s="3" t="s">
        <v>2282</v>
      </c>
      <c r="D1078" s="1" t="s">
        <v>2408</v>
      </c>
      <c r="E1078" s="5">
        <v>4</v>
      </c>
      <c r="F1078" s="4">
        <v>686.61</v>
      </c>
      <c r="G1078" s="1" t="s">
        <v>3005</v>
      </c>
      <c r="H1078" s="1" t="s">
        <v>3069</v>
      </c>
      <c r="I1078" s="1" t="s">
        <v>3070</v>
      </c>
      <c r="J1078" s="1" t="s">
        <v>4151</v>
      </c>
      <c r="K1078" s="1">
        <v>6</v>
      </c>
      <c r="M1078" s="1" t="s">
        <v>4279</v>
      </c>
      <c r="N1078" s="1">
        <v>2746.44</v>
      </c>
      <c r="O1078" s="1">
        <f>(ordersTable[[#This Row],[Quantity]]*ordersTable[[#This Row],[UnitPrice]])-ordersTable[[#This Row],[TotalPrice]]</f>
        <v>0</v>
      </c>
    </row>
    <row r="1079" spans="1:15" x14ac:dyDescent="0.3">
      <c r="A1079" s="1" t="s">
        <v>1091</v>
      </c>
      <c r="B1079" s="2">
        <v>45723</v>
      </c>
      <c r="C1079" s="3" t="s">
        <v>2283</v>
      </c>
      <c r="D1079" s="1" t="s">
        <v>2407</v>
      </c>
      <c r="E1079" s="5">
        <v>3</v>
      </c>
      <c r="F1079" s="4">
        <v>305.16000000000003</v>
      </c>
      <c r="G1079" s="1" t="s">
        <v>2517</v>
      </c>
      <c r="H1079" s="1" t="s">
        <v>3067</v>
      </c>
      <c r="I1079" s="1" t="s">
        <v>3071</v>
      </c>
      <c r="J1079" s="1" t="s">
        <v>4152</v>
      </c>
      <c r="K1079" s="1">
        <v>8</v>
      </c>
      <c r="L1079" s="1" t="s">
        <v>4275</v>
      </c>
      <c r="M1079" s="1" t="s">
        <v>4279</v>
      </c>
      <c r="N1079" s="1">
        <v>915.48</v>
      </c>
      <c r="O1079" s="1">
        <f>(ordersTable[[#This Row],[Quantity]]*ordersTable[[#This Row],[UnitPrice]])-ordersTable[[#This Row],[TotalPrice]]</f>
        <v>0</v>
      </c>
    </row>
    <row r="1080" spans="1:15" x14ac:dyDescent="0.3">
      <c r="A1080" s="1" t="s">
        <v>1092</v>
      </c>
      <c r="B1080" s="2">
        <v>45003</v>
      </c>
      <c r="C1080" s="3" t="s">
        <v>2284</v>
      </c>
      <c r="D1080" s="1" t="s">
        <v>2409</v>
      </c>
      <c r="E1080" s="5">
        <v>1</v>
      </c>
      <c r="F1080" s="4">
        <v>41.09</v>
      </c>
      <c r="G1080" s="1" t="s">
        <v>2437</v>
      </c>
      <c r="H1080" s="1" t="s">
        <v>3066</v>
      </c>
      <c r="I1080" s="1" t="s">
        <v>3072</v>
      </c>
      <c r="J1080" s="1" t="s">
        <v>4153</v>
      </c>
      <c r="K1080" s="1">
        <v>4</v>
      </c>
      <c r="L1080" s="1" t="s">
        <v>4277</v>
      </c>
      <c r="M1080" s="1" t="s">
        <v>4280</v>
      </c>
      <c r="N1080" s="1">
        <v>41.09</v>
      </c>
      <c r="O1080" s="1">
        <f>(ordersTable[[#This Row],[Quantity]]*ordersTable[[#This Row],[UnitPrice]])-ordersTable[[#This Row],[TotalPrice]]</f>
        <v>0</v>
      </c>
    </row>
    <row r="1081" spans="1:15" x14ac:dyDescent="0.3">
      <c r="A1081" s="1" t="s">
        <v>1093</v>
      </c>
      <c r="B1081" s="2">
        <v>45463</v>
      </c>
      <c r="C1081" s="3" t="s">
        <v>2285</v>
      </c>
      <c r="D1081" s="1" t="s">
        <v>2404</v>
      </c>
      <c r="E1081" s="5">
        <v>5</v>
      </c>
      <c r="F1081" s="4">
        <v>634</v>
      </c>
      <c r="G1081" s="1" t="s">
        <v>2980</v>
      </c>
      <c r="H1081" s="1" t="s">
        <v>3068</v>
      </c>
      <c r="I1081" s="1" t="s">
        <v>3073</v>
      </c>
      <c r="J1081" s="1" t="s">
        <v>4154</v>
      </c>
      <c r="K1081" s="1">
        <v>8</v>
      </c>
      <c r="M1081" s="1" t="s">
        <v>4280</v>
      </c>
      <c r="N1081" s="1">
        <v>3170</v>
      </c>
      <c r="O1081" s="1">
        <f>(ordersTable[[#This Row],[Quantity]]*ordersTable[[#This Row],[UnitPrice]])-ordersTable[[#This Row],[TotalPrice]]</f>
        <v>0</v>
      </c>
    </row>
    <row r="1082" spans="1:15" x14ac:dyDescent="0.3">
      <c r="A1082" s="1" t="s">
        <v>1094</v>
      </c>
      <c r="B1082" s="2">
        <v>44946</v>
      </c>
      <c r="C1082" s="3" t="s">
        <v>2286</v>
      </c>
      <c r="D1082" s="1" t="s">
        <v>2408</v>
      </c>
      <c r="E1082" s="5">
        <v>5</v>
      </c>
      <c r="F1082" s="4">
        <v>464.74</v>
      </c>
      <c r="G1082" s="1" t="s">
        <v>3022</v>
      </c>
      <c r="H1082" s="1" t="s">
        <v>3068</v>
      </c>
      <c r="I1082" s="1" t="s">
        <v>3073</v>
      </c>
      <c r="J1082" s="1" t="s">
        <v>4155</v>
      </c>
      <c r="K1082" s="1">
        <v>7</v>
      </c>
      <c r="M1082" s="1" t="s">
        <v>4279</v>
      </c>
      <c r="N1082" s="1">
        <v>2323.6999999999998</v>
      </c>
      <c r="O1082" s="1">
        <f>(ordersTable[[#This Row],[Quantity]]*ordersTable[[#This Row],[UnitPrice]])-ordersTable[[#This Row],[TotalPrice]]</f>
        <v>0</v>
      </c>
    </row>
    <row r="1083" spans="1:15" x14ac:dyDescent="0.3">
      <c r="A1083" s="1" t="s">
        <v>1095</v>
      </c>
      <c r="B1083" s="2">
        <v>45037</v>
      </c>
      <c r="C1083" s="3" t="s">
        <v>2287</v>
      </c>
      <c r="D1083" s="1" t="s">
        <v>2403</v>
      </c>
      <c r="E1083" s="5">
        <v>4</v>
      </c>
      <c r="F1083" s="4">
        <v>425.6</v>
      </c>
      <c r="G1083" s="1" t="s">
        <v>2704</v>
      </c>
      <c r="H1083" s="1" t="s">
        <v>3067</v>
      </c>
      <c r="I1083" s="1" t="s">
        <v>3074</v>
      </c>
      <c r="J1083" s="1" t="s">
        <v>4156</v>
      </c>
      <c r="K1083" s="1">
        <v>5</v>
      </c>
      <c r="L1083" s="1" t="s">
        <v>4276</v>
      </c>
      <c r="M1083" s="1" t="s">
        <v>4282</v>
      </c>
      <c r="N1083" s="1">
        <v>1702.4</v>
      </c>
      <c r="O1083" s="1">
        <f>(ordersTable[[#This Row],[Quantity]]*ordersTable[[#This Row],[UnitPrice]])-ordersTable[[#This Row],[TotalPrice]]</f>
        <v>0</v>
      </c>
    </row>
    <row r="1084" spans="1:15" x14ac:dyDescent="0.3">
      <c r="A1084" s="1" t="s">
        <v>1096</v>
      </c>
      <c r="B1084" s="2">
        <v>45205</v>
      </c>
      <c r="C1084" s="3" t="s">
        <v>2288</v>
      </c>
      <c r="D1084" s="1" t="s">
        <v>2406</v>
      </c>
      <c r="E1084" s="5">
        <v>3</v>
      </c>
      <c r="F1084" s="4">
        <v>573.22</v>
      </c>
      <c r="G1084" s="1" t="s">
        <v>3011</v>
      </c>
      <c r="H1084" s="1" t="s">
        <v>3065</v>
      </c>
      <c r="I1084" s="1" t="s">
        <v>3074</v>
      </c>
      <c r="J1084" s="1" t="s">
        <v>4157</v>
      </c>
      <c r="K1084" s="1">
        <v>5</v>
      </c>
      <c r="L1084" s="1" t="s">
        <v>4275</v>
      </c>
      <c r="M1084" s="1" t="s">
        <v>4280</v>
      </c>
      <c r="N1084" s="1">
        <v>1719.66</v>
      </c>
      <c r="O1084" s="1">
        <f>(ordersTable[[#This Row],[Quantity]]*ordersTable[[#This Row],[UnitPrice]])-ordersTable[[#This Row],[TotalPrice]]</f>
        <v>0</v>
      </c>
    </row>
    <row r="1085" spans="1:15" x14ac:dyDescent="0.3">
      <c r="A1085" s="1" t="s">
        <v>1097</v>
      </c>
      <c r="B1085" s="2">
        <v>45482</v>
      </c>
      <c r="C1085" s="3" t="s">
        <v>2289</v>
      </c>
      <c r="D1085" s="1" t="s">
        <v>2406</v>
      </c>
      <c r="E1085" s="5">
        <v>1</v>
      </c>
      <c r="F1085" s="4">
        <v>123.28</v>
      </c>
      <c r="G1085" s="1" t="s">
        <v>2440</v>
      </c>
      <c r="H1085" s="1" t="s">
        <v>3067</v>
      </c>
      <c r="I1085" s="1" t="s">
        <v>3073</v>
      </c>
      <c r="J1085" s="1" t="s">
        <v>4158</v>
      </c>
      <c r="K1085" s="1">
        <v>3</v>
      </c>
      <c r="L1085" s="1" t="s">
        <v>4275</v>
      </c>
      <c r="M1085" s="1" t="s">
        <v>4280</v>
      </c>
      <c r="N1085" s="1">
        <v>123.28</v>
      </c>
      <c r="O1085" s="1">
        <f>(ordersTable[[#This Row],[Quantity]]*ordersTable[[#This Row],[UnitPrice]])-ordersTable[[#This Row],[TotalPrice]]</f>
        <v>0</v>
      </c>
    </row>
    <row r="1086" spans="1:15" x14ac:dyDescent="0.3">
      <c r="A1086" s="1" t="s">
        <v>1098</v>
      </c>
      <c r="B1086" s="2">
        <v>44934</v>
      </c>
      <c r="C1086" s="3" t="s">
        <v>2290</v>
      </c>
      <c r="D1086" s="1" t="s">
        <v>2404</v>
      </c>
      <c r="E1086" s="5">
        <v>1</v>
      </c>
      <c r="F1086" s="4">
        <v>70.819999999999993</v>
      </c>
      <c r="G1086" s="1" t="s">
        <v>2445</v>
      </c>
      <c r="H1086" s="1" t="s">
        <v>3068</v>
      </c>
      <c r="I1086" s="1" t="s">
        <v>3074</v>
      </c>
      <c r="J1086" s="1" t="s">
        <v>4159</v>
      </c>
      <c r="K1086" s="1">
        <v>1</v>
      </c>
      <c r="L1086" s="1" t="s">
        <v>4277</v>
      </c>
      <c r="M1086" s="1" t="s">
        <v>4278</v>
      </c>
      <c r="N1086" s="1">
        <v>70.819999999999993</v>
      </c>
      <c r="O1086" s="1">
        <f>(ordersTable[[#This Row],[Quantity]]*ordersTable[[#This Row],[UnitPrice]])-ordersTable[[#This Row],[TotalPrice]]</f>
        <v>0</v>
      </c>
    </row>
    <row r="1087" spans="1:15" x14ac:dyDescent="0.3">
      <c r="A1087" s="1" t="s">
        <v>1099</v>
      </c>
      <c r="B1087" s="2">
        <v>45067</v>
      </c>
      <c r="C1087" s="3" t="s">
        <v>2291</v>
      </c>
      <c r="D1087" s="1" t="s">
        <v>2407</v>
      </c>
      <c r="E1087" s="5">
        <v>2</v>
      </c>
      <c r="F1087" s="4">
        <v>646.69000000000005</v>
      </c>
      <c r="G1087" s="1" t="s">
        <v>2545</v>
      </c>
      <c r="H1087" s="1" t="s">
        <v>3065</v>
      </c>
      <c r="I1087" s="1" t="s">
        <v>3070</v>
      </c>
      <c r="J1087" s="1" t="s">
        <v>4160</v>
      </c>
      <c r="K1087" s="1">
        <v>7</v>
      </c>
      <c r="L1087" s="1" t="s">
        <v>4277</v>
      </c>
      <c r="M1087" s="1" t="s">
        <v>4278</v>
      </c>
      <c r="N1087" s="1">
        <v>1293.3800000000001</v>
      </c>
      <c r="O1087" s="1">
        <f>(ordersTable[[#This Row],[Quantity]]*ordersTable[[#This Row],[UnitPrice]])-ordersTable[[#This Row],[TotalPrice]]</f>
        <v>0</v>
      </c>
    </row>
    <row r="1088" spans="1:15" x14ac:dyDescent="0.3">
      <c r="A1088" s="1" t="s">
        <v>1100</v>
      </c>
      <c r="B1088" s="2">
        <v>45283</v>
      </c>
      <c r="C1088" s="3" t="s">
        <v>2292</v>
      </c>
      <c r="D1088" s="1" t="s">
        <v>2405</v>
      </c>
      <c r="E1088" s="5">
        <v>2</v>
      </c>
      <c r="F1088" s="4">
        <v>513.41999999999996</v>
      </c>
      <c r="G1088" s="1" t="s">
        <v>3023</v>
      </c>
      <c r="H1088" s="1" t="s">
        <v>3066</v>
      </c>
      <c r="I1088" s="1" t="s">
        <v>3074</v>
      </c>
      <c r="J1088" s="1" t="s">
        <v>4161</v>
      </c>
      <c r="K1088" s="1">
        <v>5</v>
      </c>
      <c r="L1088" s="1" t="s">
        <v>4277</v>
      </c>
      <c r="M1088" s="1" t="s">
        <v>4278</v>
      </c>
      <c r="N1088" s="1">
        <v>1026.8399999999999</v>
      </c>
      <c r="O1088" s="1">
        <f>(ordersTable[[#This Row],[Quantity]]*ordersTable[[#This Row],[UnitPrice]])-ordersTable[[#This Row],[TotalPrice]]</f>
        <v>0</v>
      </c>
    </row>
    <row r="1089" spans="1:15" x14ac:dyDescent="0.3">
      <c r="A1089" s="1" t="s">
        <v>1101</v>
      </c>
      <c r="B1089" s="2">
        <v>45739</v>
      </c>
      <c r="C1089" s="3" t="s">
        <v>2293</v>
      </c>
      <c r="D1089" s="1" t="s">
        <v>2408</v>
      </c>
      <c r="E1089" s="5">
        <v>4</v>
      </c>
      <c r="F1089" s="4">
        <v>693.07</v>
      </c>
      <c r="G1089" s="1" t="s">
        <v>3024</v>
      </c>
      <c r="H1089" s="1" t="s">
        <v>3066</v>
      </c>
      <c r="I1089" s="1" t="s">
        <v>3070</v>
      </c>
      <c r="J1089" s="1" t="s">
        <v>4162</v>
      </c>
      <c r="K1089" s="1">
        <v>8</v>
      </c>
      <c r="L1089" s="1" t="s">
        <v>4275</v>
      </c>
      <c r="M1089" s="1" t="s">
        <v>4278</v>
      </c>
      <c r="N1089" s="1">
        <v>2772.28</v>
      </c>
      <c r="O1089" s="1">
        <f>(ordersTable[[#This Row],[Quantity]]*ordersTable[[#This Row],[UnitPrice]])-ordersTable[[#This Row],[TotalPrice]]</f>
        <v>0</v>
      </c>
    </row>
    <row r="1090" spans="1:15" x14ac:dyDescent="0.3">
      <c r="A1090" s="1" t="s">
        <v>1102</v>
      </c>
      <c r="B1090" s="2">
        <v>45260</v>
      </c>
      <c r="C1090" s="3" t="s">
        <v>2294</v>
      </c>
      <c r="D1090" s="1" t="s">
        <v>2409</v>
      </c>
      <c r="E1090" s="5">
        <v>3</v>
      </c>
      <c r="F1090" s="4">
        <v>491.43</v>
      </c>
      <c r="G1090" s="1" t="s">
        <v>3025</v>
      </c>
      <c r="H1090" s="1" t="s">
        <v>3068</v>
      </c>
      <c r="I1090" s="1" t="s">
        <v>3070</v>
      </c>
      <c r="J1090" s="1" t="s">
        <v>4163</v>
      </c>
      <c r="K1090" s="1">
        <v>6</v>
      </c>
      <c r="L1090" s="1" t="s">
        <v>4277</v>
      </c>
      <c r="M1090" s="1" t="s">
        <v>4278</v>
      </c>
      <c r="N1090" s="1">
        <v>1474.29</v>
      </c>
      <c r="O1090" s="1">
        <f>(ordersTable[[#This Row],[Quantity]]*ordersTable[[#This Row],[UnitPrice]])-ordersTable[[#This Row],[TotalPrice]]</f>
        <v>0</v>
      </c>
    </row>
    <row r="1091" spans="1:15" x14ac:dyDescent="0.3">
      <c r="A1091" s="1" t="s">
        <v>1103</v>
      </c>
      <c r="B1091" s="2">
        <v>45731</v>
      </c>
      <c r="C1091" s="3" t="s">
        <v>2295</v>
      </c>
      <c r="D1091" s="1" t="s">
        <v>2405</v>
      </c>
      <c r="E1091" s="5">
        <v>2</v>
      </c>
      <c r="F1091" s="4">
        <v>599.74</v>
      </c>
      <c r="G1091" s="1" t="s">
        <v>2473</v>
      </c>
      <c r="H1091" s="1" t="s">
        <v>3068</v>
      </c>
      <c r="I1091" s="1" t="s">
        <v>3070</v>
      </c>
      <c r="J1091" s="1" t="s">
        <v>4164</v>
      </c>
      <c r="K1091" s="1">
        <v>2</v>
      </c>
      <c r="M1091" s="1" t="s">
        <v>4278</v>
      </c>
      <c r="N1091" s="1">
        <v>1199.48</v>
      </c>
      <c r="O1091" s="1">
        <f>(ordersTable[[#This Row],[Quantity]]*ordersTable[[#This Row],[UnitPrice]])-ordersTable[[#This Row],[TotalPrice]]</f>
        <v>0</v>
      </c>
    </row>
    <row r="1092" spans="1:15" x14ac:dyDescent="0.3">
      <c r="A1092" s="1" t="s">
        <v>1104</v>
      </c>
      <c r="B1092" s="2">
        <v>44982</v>
      </c>
      <c r="C1092" s="3" t="s">
        <v>2296</v>
      </c>
      <c r="D1092" s="1" t="s">
        <v>2403</v>
      </c>
      <c r="E1092" s="5">
        <v>2</v>
      </c>
      <c r="F1092" s="4">
        <v>650.25</v>
      </c>
      <c r="G1092" s="1" t="s">
        <v>2441</v>
      </c>
      <c r="H1092" s="1" t="s">
        <v>3068</v>
      </c>
      <c r="I1092" s="1" t="s">
        <v>3072</v>
      </c>
      <c r="J1092" s="1" t="s">
        <v>4165</v>
      </c>
      <c r="K1092" s="1">
        <v>6</v>
      </c>
      <c r="M1092" s="1" t="s">
        <v>4278</v>
      </c>
      <c r="N1092" s="1">
        <v>1300.5</v>
      </c>
      <c r="O1092" s="1">
        <f>(ordersTable[[#This Row],[Quantity]]*ordersTable[[#This Row],[UnitPrice]])-ordersTable[[#This Row],[TotalPrice]]</f>
        <v>0</v>
      </c>
    </row>
    <row r="1093" spans="1:15" x14ac:dyDescent="0.3">
      <c r="A1093" s="1" t="s">
        <v>1105</v>
      </c>
      <c r="B1093" s="2">
        <v>45573</v>
      </c>
      <c r="C1093" s="3" t="s">
        <v>2297</v>
      </c>
      <c r="D1093" s="1" t="s">
        <v>2408</v>
      </c>
      <c r="E1093" s="5">
        <v>3</v>
      </c>
      <c r="F1093" s="4">
        <v>209.48</v>
      </c>
      <c r="G1093" s="1" t="s">
        <v>2739</v>
      </c>
      <c r="H1093" s="1" t="s">
        <v>3065</v>
      </c>
      <c r="I1093" s="1" t="s">
        <v>3074</v>
      </c>
      <c r="J1093" s="1" t="s">
        <v>4166</v>
      </c>
      <c r="K1093" s="1">
        <v>4</v>
      </c>
      <c r="M1093" s="1" t="s">
        <v>4280</v>
      </c>
      <c r="N1093" s="1">
        <v>628.43999999999994</v>
      </c>
      <c r="O1093" s="1">
        <f>(ordersTable[[#This Row],[Quantity]]*ordersTable[[#This Row],[UnitPrice]])-ordersTable[[#This Row],[TotalPrice]]</f>
        <v>0</v>
      </c>
    </row>
    <row r="1094" spans="1:15" x14ac:dyDescent="0.3">
      <c r="A1094" s="1" t="s">
        <v>1106</v>
      </c>
      <c r="B1094" s="2">
        <v>45159</v>
      </c>
      <c r="C1094" s="3" t="s">
        <v>2298</v>
      </c>
      <c r="D1094" s="1" t="s">
        <v>2408</v>
      </c>
      <c r="E1094" s="5">
        <v>5</v>
      </c>
      <c r="F1094" s="4">
        <v>209.2</v>
      </c>
      <c r="G1094" s="1" t="s">
        <v>2439</v>
      </c>
      <c r="H1094" s="1" t="s">
        <v>3065</v>
      </c>
      <c r="I1094" s="1" t="s">
        <v>3073</v>
      </c>
      <c r="J1094" s="1" t="s">
        <v>4167</v>
      </c>
      <c r="K1094" s="1">
        <v>6</v>
      </c>
      <c r="L1094" s="1" t="s">
        <v>4277</v>
      </c>
      <c r="M1094" s="1" t="s">
        <v>4280</v>
      </c>
      <c r="N1094" s="1">
        <v>1046</v>
      </c>
      <c r="O1094" s="1">
        <f>(ordersTable[[#This Row],[Quantity]]*ordersTable[[#This Row],[UnitPrice]])-ordersTable[[#This Row],[TotalPrice]]</f>
        <v>0</v>
      </c>
    </row>
    <row r="1095" spans="1:15" x14ac:dyDescent="0.3">
      <c r="A1095" s="1" t="s">
        <v>1107</v>
      </c>
      <c r="B1095" s="2">
        <v>45086</v>
      </c>
      <c r="C1095" s="3" t="s">
        <v>2299</v>
      </c>
      <c r="D1095" s="1" t="s">
        <v>2404</v>
      </c>
      <c r="E1095" s="5">
        <v>4</v>
      </c>
      <c r="F1095" s="4">
        <v>197.36</v>
      </c>
      <c r="G1095" s="1" t="s">
        <v>3026</v>
      </c>
      <c r="H1095" s="1" t="s">
        <v>3068</v>
      </c>
      <c r="I1095" s="1" t="s">
        <v>3072</v>
      </c>
      <c r="J1095" s="1" t="s">
        <v>4168</v>
      </c>
      <c r="K1095" s="1">
        <v>9</v>
      </c>
      <c r="L1095" s="1" t="s">
        <v>4276</v>
      </c>
      <c r="M1095" s="1" t="s">
        <v>4278</v>
      </c>
      <c r="N1095" s="1">
        <v>789.44</v>
      </c>
      <c r="O1095" s="1">
        <f>(ordersTable[[#This Row],[Quantity]]*ordersTable[[#This Row],[UnitPrice]])-ordersTable[[#This Row],[TotalPrice]]</f>
        <v>0</v>
      </c>
    </row>
    <row r="1096" spans="1:15" x14ac:dyDescent="0.3">
      <c r="A1096" s="1" t="s">
        <v>1108</v>
      </c>
      <c r="B1096" s="2">
        <v>45105</v>
      </c>
      <c r="C1096" s="3" t="s">
        <v>2300</v>
      </c>
      <c r="D1096" s="1" t="s">
        <v>2407</v>
      </c>
      <c r="E1096" s="5">
        <v>4</v>
      </c>
      <c r="F1096" s="4">
        <v>648.91</v>
      </c>
      <c r="G1096" s="1" t="s">
        <v>3027</v>
      </c>
      <c r="H1096" s="1" t="s">
        <v>3067</v>
      </c>
      <c r="I1096" s="1" t="s">
        <v>3070</v>
      </c>
      <c r="J1096" s="1" t="s">
        <v>4169</v>
      </c>
      <c r="K1096" s="1">
        <v>6</v>
      </c>
      <c r="L1096" s="1" t="s">
        <v>4275</v>
      </c>
      <c r="M1096" s="1" t="s">
        <v>4278</v>
      </c>
      <c r="N1096" s="1">
        <v>2595.64</v>
      </c>
      <c r="O1096" s="1">
        <f>(ordersTable[[#This Row],[Quantity]]*ordersTable[[#This Row],[UnitPrice]])-ordersTable[[#This Row],[TotalPrice]]</f>
        <v>0</v>
      </c>
    </row>
    <row r="1097" spans="1:15" x14ac:dyDescent="0.3">
      <c r="A1097" s="1" t="s">
        <v>1109</v>
      </c>
      <c r="B1097" s="2">
        <v>45405</v>
      </c>
      <c r="C1097" s="3" t="s">
        <v>2301</v>
      </c>
      <c r="D1097" s="1" t="s">
        <v>2404</v>
      </c>
      <c r="E1097" s="5">
        <v>2</v>
      </c>
      <c r="F1097" s="4">
        <v>441.54</v>
      </c>
      <c r="G1097" s="1" t="s">
        <v>3028</v>
      </c>
      <c r="H1097" s="1" t="s">
        <v>3066</v>
      </c>
      <c r="I1097" s="1" t="s">
        <v>3073</v>
      </c>
      <c r="J1097" s="1" t="s">
        <v>4170</v>
      </c>
      <c r="K1097" s="1">
        <v>2</v>
      </c>
      <c r="L1097" s="1" t="s">
        <v>4275</v>
      </c>
      <c r="M1097" s="1" t="s">
        <v>4280</v>
      </c>
      <c r="N1097" s="1">
        <v>883.08</v>
      </c>
      <c r="O1097" s="1">
        <f>(ordersTable[[#This Row],[Quantity]]*ordersTable[[#This Row],[UnitPrice]])-ordersTable[[#This Row],[TotalPrice]]</f>
        <v>0</v>
      </c>
    </row>
    <row r="1098" spans="1:15" x14ac:dyDescent="0.3">
      <c r="A1098" s="1" t="s">
        <v>1110</v>
      </c>
      <c r="B1098" s="2">
        <v>45780</v>
      </c>
      <c r="C1098" s="3" t="s">
        <v>2302</v>
      </c>
      <c r="D1098" s="1" t="s">
        <v>2405</v>
      </c>
      <c r="E1098" s="5">
        <v>2</v>
      </c>
      <c r="F1098" s="4">
        <v>464.92</v>
      </c>
      <c r="G1098" s="1" t="s">
        <v>3029</v>
      </c>
      <c r="H1098" s="1" t="s">
        <v>3065</v>
      </c>
      <c r="I1098" s="1" t="s">
        <v>3072</v>
      </c>
      <c r="J1098" s="1" t="s">
        <v>4171</v>
      </c>
      <c r="K1098" s="1">
        <v>2</v>
      </c>
      <c r="M1098" s="1" t="s">
        <v>4281</v>
      </c>
      <c r="N1098" s="1">
        <v>929.84</v>
      </c>
      <c r="O1098" s="1">
        <f>(ordersTable[[#This Row],[Quantity]]*ordersTable[[#This Row],[UnitPrice]])-ordersTable[[#This Row],[TotalPrice]]</f>
        <v>0</v>
      </c>
    </row>
    <row r="1099" spans="1:15" x14ac:dyDescent="0.3">
      <c r="A1099" s="1" t="s">
        <v>1111</v>
      </c>
      <c r="B1099" s="2">
        <v>45652</v>
      </c>
      <c r="C1099" s="3" t="s">
        <v>2303</v>
      </c>
      <c r="D1099" s="1" t="s">
        <v>2403</v>
      </c>
      <c r="E1099" s="5">
        <v>5</v>
      </c>
      <c r="F1099" s="4">
        <v>506.45</v>
      </c>
      <c r="G1099" s="1" t="s">
        <v>3030</v>
      </c>
      <c r="H1099" s="1" t="s">
        <v>3068</v>
      </c>
      <c r="I1099" s="1" t="s">
        <v>3070</v>
      </c>
      <c r="J1099" s="1" t="s">
        <v>4172</v>
      </c>
      <c r="K1099" s="1">
        <v>7</v>
      </c>
      <c r="L1099" s="1" t="s">
        <v>4277</v>
      </c>
      <c r="M1099" s="1" t="s">
        <v>4282</v>
      </c>
      <c r="N1099" s="1">
        <v>2532.25</v>
      </c>
      <c r="O1099" s="1">
        <f>(ordersTable[[#This Row],[Quantity]]*ordersTable[[#This Row],[UnitPrice]])-ordersTable[[#This Row],[TotalPrice]]</f>
        <v>0</v>
      </c>
    </row>
    <row r="1100" spans="1:15" x14ac:dyDescent="0.3">
      <c r="A1100" s="1" t="s">
        <v>1112</v>
      </c>
      <c r="B1100" s="2">
        <v>45094</v>
      </c>
      <c r="C1100" s="3" t="s">
        <v>2304</v>
      </c>
      <c r="D1100" s="1" t="s">
        <v>2403</v>
      </c>
      <c r="E1100" s="5">
        <v>4</v>
      </c>
      <c r="F1100" s="4">
        <v>255.86</v>
      </c>
      <c r="G1100" s="1" t="s">
        <v>3031</v>
      </c>
      <c r="H1100" s="1" t="s">
        <v>3067</v>
      </c>
      <c r="I1100" s="1" t="s">
        <v>3073</v>
      </c>
      <c r="J1100" s="1" t="s">
        <v>4173</v>
      </c>
      <c r="K1100" s="1">
        <v>7</v>
      </c>
      <c r="M1100" s="1" t="s">
        <v>4280</v>
      </c>
      <c r="N1100" s="1">
        <v>1023.44</v>
      </c>
      <c r="O1100" s="1">
        <f>(ordersTable[[#This Row],[Quantity]]*ordersTable[[#This Row],[UnitPrice]])-ordersTable[[#This Row],[TotalPrice]]</f>
        <v>0</v>
      </c>
    </row>
    <row r="1101" spans="1:15" x14ac:dyDescent="0.3">
      <c r="A1101" s="1" t="s">
        <v>1113</v>
      </c>
      <c r="B1101" s="2">
        <v>45554</v>
      </c>
      <c r="C1101" s="3" t="s">
        <v>2305</v>
      </c>
      <c r="D1101" s="1" t="s">
        <v>2408</v>
      </c>
      <c r="E1101" s="5">
        <v>2</v>
      </c>
      <c r="F1101" s="4">
        <v>125.23</v>
      </c>
      <c r="G1101" s="1" t="s">
        <v>2724</v>
      </c>
      <c r="H1101" s="1" t="s">
        <v>3069</v>
      </c>
      <c r="I1101" s="1" t="s">
        <v>3071</v>
      </c>
      <c r="J1101" s="1" t="s">
        <v>4174</v>
      </c>
      <c r="K1101" s="1">
        <v>3</v>
      </c>
      <c r="L1101" s="1" t="s">
        <v>4276</v>
      </c>
      <c r="M1101" s="1" t="s">
        <v>4280</v>
      </c>
      <c r="N1101" s="1">
        <v>250.46</v>
      </c>
      <c r="O1101" s="1">
        <f>(ordersTable[[#This Row],[Quantity]]*ordersTable[[#This Row],[UnitPrice]])-ordersTable[[#This Row],[TotalPrice]]</f>
        <v>0</v>
      </c>
    </row>
    <row r="1102" spans="1:15" x14ac:dyDescent="0.3">
      <c r="A1102" s="1" t="s">
        <v>1114</v>
      </c>
      <c r="B1102" s="2">
        <v>45155</v>
      </c>
      <c r="C1102" s="3" t="s">
        <v>2306</v>
      </c>
      <c r="D1102" s="1" t="s">
        <v>2408</v>
      </c>
      <c r="E1102" s="5">
        <v>5</v>
      </c>
      <c r="F1102" s="4">
        <v>38.11</v>
      </c>
      <c r="G1102" s="1" t="s">
        <v>3032</v>
      </c>
      <c r="H1102" s="1" t="s">
        <v>3065</v>
      </c>
      <c r="I1102" s="1" t="s">
        <v>3071</v>
      </c>
      <c r="J1102" s="1" t="s">
        <v>4175</v>
      </c>
      <c r="K1102" s="1">
        <v>6</v>
      </c>
      <c r="L1102" s="1" t="s">
        <v>4277</v>
      </c>
      <c r="M1102" s="1" t="s">
        <v>4278</v>
      </c>
      <c r="N1102" s="1">
        <v>190.55</v>
      </c>
      <c r="O1102" s="1">
        <f>(ordersTable[[#This Row],[Quantity]]*ordersTable[[#This Row],[UnitPrice]])-ordersTable[[#This Row],[TotalPrice]]</f>
        <v>0</v>
      </c>
    </row>
    <row r="1103" spans="1:15" x14ac:dyDescent="0.3">
      <c r="A1103" s="1" t="s">
        <v>1115</v>
      </c>
      <c r="B1103" s="2">
        <v>45816</v>
      </c>
      <c r="C1103" s="3" t="s">
        <v>2307</v>
      </c>
      <c r="D1103" s="1" t="s">
        <v>2403</v>
      </c>
      <c r="E1103" s="5">
        <v>3</v>
      </c>
      <c r="F1103" s="4">
        <v>161.97</v>
      </c>
      <c r="G1103" s="1" t="s">
        <v>2418</v>
      </c>
      <c r="H1103" s="1" t="s">
        <v>3069</v>
      </c>
      <c r="I1103" s="1" t="s">
        <v>3074</v>
      </c>
      <c r="J1103" s="1" t="s">
        <v>4176</v>
      </c>
      <c r="K1103" s="1">
        <v>4</v>
      </c>
      <c r="L1103" s="1" t="s">
        <v>4275</v>
      </c>
      <c r="M1103" s="1" t="s">
        <v>4280</v>
      </c>
      <c r="N1103" s="1">
        <v>485.91</v>
      </c>
      <c r="O1103" s="1">
        <f>(ordersTable[[#This Row],[Quantity]]*ordersTable[[#This Row],[UnitPrice]])-ordersTable[[#This Row],[TotalPrice]]</f>
        <v>0</v>
      </c>
    </row>
    <row r="1104" spans="1:15" x14ac:dyDescent="0.3">
      <c r="A1104" s="1" t="s">
        <v>1116</v>
      </c>
      <c r="B1104" s="2">
        <v>45446</v>
      </c>
      <c r="C1104" s="3" t="s">
        <v>1228</v>
      </c>
      <c r="D1104" s="1" t="s">
        <v>2406</v>
      </c>
      <c r="E1104" s="5">
        <v>4</v>
      </c>
      <c r="F1104" s="4">
        <v>347.17</v>
      </c>
      <c r="G1104" s="1" t="s">
        <v>2904</v>
      </c>
      <c r="H1104" s="1" t="s">
        <v>3065</v>
      </c>
      <c r="I1104" s="1" t="s">
        <v>3070</v>
      </c>
      <c r="J1104" s="1" t="s">
        <v>4177</v>
      </c>
      <c r="K1104" s="1">
        <v>8</v>
      </c>
      <c r="M1104" s="1" t="s">
        <v>4278</v>
      </c>
      <c r="N1104" s="1">
        <v>1388.68</v>
      </c>
      <c r="O1104" s="1">
        <f>(ordersTable[[#This Row],[Quantity]]*ordersTable[[#This Row],[UnitPrice]])-ordersTable[[#This Row],[TotalPrice]]</f>
        <v>0</v>
      </c>
    </row>
    <row r="1105" spans="1:15" x14ac:dyDescent="0.3">
      <c r="A1105" s="1" t="s">
        <v>1117</v>
      </c>
      <c r="B1105" s="2">
        <v>45040</v>
      </c>
      <c r="C1105" s="3" t="s">
        <v>2308</v>
      </c>
      <c r="D1105" s="1" t="s">
        <v>2408</v>
      </c>
      <c r="E1105" s="5">
        <v>4</v>
      </c>
      <c r="F1105" s="4">
        <v>276.32</v>
      </c>
      <c r="G1105" s="1" t="s">
        <v>2477</v>
      </c>
      <c r="H1105" s="1" t="s">
        <v>3066</v>
      </c>
      <c r="I1105" s="1" t="s">
        <v>3073</v>
      </c>
      <c r="J1105" s="1" t="s">
        <v>4178</v>
      </c>
      <c r="K1105" s="1">
        <v>5</v>
      </c>
      <c r="M1105" s="1" t="s">
        <v>4282</v>
      </c>
      <c r="N1105" s="1">
        <v>1105.28</v>
      </c>
      <c r="O1105" s="1">
        <f>(ordersTable[[#This Row],[Quantity]]*ordersTable[[#This Row],[UnitPrice]])-ordersTable[[#This Row],[TotalPrice]]</f>
        <v>0</v>
      </c>
    </row>
    <row r="1106" spans="1:15" x14ac:dyDescent="0.3">
      <c r="A1106" s="1" t="s">
        <v>1118</v>
      </c>
      <c r="B1106" s="2">
        <v>45498</v>
      </c>
      <c r="C1106" s="3" t="s">
        <v>2309</v>
      </c>
      <c r="D1106" s="1" t="s">
        <v>2405</v>
      </c>
      <c r="E1106" s="5">
        <v>4</v>
      </c>
      <c r="F1106" s="4">
        <v>314.76</v>
      </c>
      <c r="G1106" s="1" t="s">
        <v>3033</v>
      </c>
      <c r="H1106" s="1" t="s">
        <v>3066</v>
      </c>
      <c r="I1106" s="1" t="s">
        <v>3070</v>
      </c>
      <c r="J1106" s="1" t="s">
        <v>4179</v>
      </c>
      <c r="K1106" s="1">
        <v>8</v>
      </c>
      <c r="M1106" s="1" t="s">
        <v>4278</v>
      </c>
      <c r="N1106" s="1">
        <v>1259.04</v>
      </c>
      <c r="O1106" s="1">
        <f>(ordersTable[[#This Row],[Quantity]]*ordersTable[[#This Row],[UnitPrice]])-ordersTable[[#This Row],[TotalPrice]]</f>
        <v>0</v>
      </c>
    </row>
    <row r="1107" spans="1:15" x14ac:dyDescent="0.3">
      <c r="A1107" s="1" t="s">
        <v>1119</v>
      </c>
      <c r="B1107" s="2">
        <v>45299</v>
      </c>
      <c r="C1107" s="3" t="s">
        <v>2310</v>
      </c>
      <c r="D1107" s="1" t="s">
        <v>2405</v>
      </c>
      <c r="E1107" s="5">
        <v>3</v>
      </c>
      <c r="F1107" s="4">
        <v>475.69</v>
      </c>
      <c r="G1107" s="1" t="s">
        <v>2644</v>
      </c>
      <c r="H1107" s="1" t="s">
        <v>3068</v>
      </c>
      <c r="I1107" s="1" t="s">
        <v>3071</v>
      </c>
      <c r="J1107" s="1" t="s">
        <v>4180</v>
      </c>
      <c r="K1107" s="1">
        <v>3</v>
      </c>
      <c r="L1107" s="1" t="s">
        <v>4276</v>
      </c>
      <c r="M1107" s="1" t="s">
        <v>4282</v>
      </c>
      <c r="N1107" s="1">
        <v>1427.07</v>
      </c>
      <c r="O1107" s="1">
        <f>(ordersTable[[#This Row],[Quantity]]*ordersTable[[#This Row],[UnitPrice]])-ordersTable[[#This Row],[TotalPrice]]</f>
        <v>0</v>
      </c>
    </row>
    <row r="1108" spans="1:15" x14ac:dyDescent="0.3">
      <c r="A1108" s="1" t="s">
        <v>1120</v>
      </c>
      <c r="B1108" s="2">
        <v>44997</v>
      </c>
      <c r="C1108" s="3" t="s">
        <v>2311</v>
      </c>
      <c r="D1108" s="1" t="s">
        <v>2406</v>
      </c>
      <c r="E1108" s="5">
        <v>1</v>
      </c>
      <c r="F1108" s="4">
        <v>372.8</v>
      </c>
      <c r="G1108" s="1" t="s">
        <v>2423</v>
      </c>
      <c r="H1108" s="1" t="s">
        <v>3069</v>
      </c>
      <c r="I1108" s="1" t="s">
        <v>3071</v>
      </c>
      <c r="J1108" s="1" t="s">
        <v>4181</v>
      </c>
      <c r="K1108" s="1">
        <v>6</v>
      </c>
      <c r="L1108" s="1" t="s">
        <v>4275</v>
      </c>
      <c r="M1108" s="1" t="s">
        <v>4281</v>
      </c>
      <c r="N1108" s="1">
        <v>372.8</v>
      </c>
      <c r="O1108" s="1">
        <f>(ordersTable[[#This Row],[Quantity]]*ordersTable[[#This Row],[UnitPrice]])-ordersTable[[#This Row],[TotalPrice]]</f>
        <v>0</v>
      </c>
    </row>
    <row r="1109" spans="1:15" x14ac:dyDescent="0.3">
      <c r="A1109" s="1" t="s">
        <v>1121</v>
      </c>
      <c r="B1109" s="2">
        <v>45838</v>
      </c>
      <c r="C1109" s="3" t="s">
        <v>2312</v>
      </c>
      <c r="D1109" s="1" t="s">
        <v>2405</v>
      </c>
      <c r="E1109" s="5">
        <v>2</v>
      </c>
      <c r="F1109" s="4">
        <v>63.21</v>
      </c>
      <c r="G1109" s="1" t="s">
        <v>2839</v>
      </c>
      <c r="H1109" s="1" t="s">
        <v>3066</v>
      </c>
      <c r="I1109" s="1" t="s">
        <v>3071</v>
      </c>
      <c r="J1109" s="1" t="s">
        <v>4182</v>
      </c>
      <c r="K1109" s="1">
        <v>4</v>
      </c>
      <c r="L1109" s="1" t="s">
        <v>4275</v>
      </c>
      <c r="M1109" s="1" t="s">
        <v>4282</v>
      </c>
      <c r="N1109" s="1">
        <v>126.42</v>
      </c>
      <c r="O1109" s="1">
        <f>(ordersTable[[#This Row],[Quantity]]*ordersTable[[#This Row],[UnitPrice]])-ordersTable[[#This Row],[TotalPrice]]</f>
        <v>0</v>
      </c>
    </row>
    <row r="1110" spans="1:15" x14ac:dyDescent="0.3">
      <c r="A1110" s="1" t="s">
        <v>1122</v>
      </c>
      <c r="B1110" s="2">
        <v>45005</v>
      </c>
      <c r="C1110" s="3" t="s">
        <v>2313</v>
      </c>
      <c r="D1110" s="1" t="s">
        <v>2408</v>
      </c>
      <c r="E1110" s="5">
        <v>1</v>
      </c>
      <c r="F1110" s="4">
        <v>634.94000000000005</v>
      </c>
      <c r="G1110" s="1" t="s">
        <v>3034</v>
      </c>
      <c r="H1110" s="1" t="s">
        <v>3066</v>
      </c>
      <c r="I1110" s="1" t="s">
        <v>3071</v>
      </c>
      <c r="J1110" s="1" t="s">
        <v>4183</v>
      </c>
      <c r="K1110" s="1">
        <v>5</v>
      </c>
      <c r="L1110" s="1" t="s">
        <v>4277</v>
      </c>
      <c r="M1110" s="1" t="s">
        <v>4278</v>
      </c>
      <c r="N1110" s="1">
        <v>634.94000000000005</v>
      </c>
      <c r="O1110" s="1">
        <f>(ordersTable[[#This Row],[Quantity]]*ordersTable[[#This Row],[UnitPrice]])-ordersTable[[#This Row],[TotalPrice]]</f>
        <v>0</v>
      </c>
    </row>
    <row r="1111" spans="1:15" x14ac:dyDescent="0.3">
      <c r="A1111" s="1" t="s">
        <v>1123</v>
      </c>
      <c r="B1111" s="2">
        <v>45390</v>
      </c>
      <c r="C1111" s="3" t="s">
        <v>2314</v>
      </c>
      <c r="D1111" s="1" t="s">
        <v>2407</v>
      </c>
      <c r="E1111" s="5">
        <v>4</v>
      </c>
      <c r="F1111" s="4">
        <v>77.47</v>
      </c>
      <c r="G1111" s="1" t="s">
        <v>2768</v>
      </c>
      <c r="H1111" s="1" t="s">
        <v>3068</v>
      </c>
      <c r="I1111" s="1" t="s">
        <v>3072</v>
      </c>
      <c r="J1111" s="1" t="s">
        <v>4184</v>
      </c>
      <c r="K1111" s="1">
        <v>7</v>
      </c>
      <c r="L1111" s="1" t="s">
        <v>4275</v>
      </c>
      <c r="M1111" s="1" t="s">
        <v>4278</v>
      </c>
      <c r="N1111" s="1">
        <v>309.88</v>
      </c>
      <c r="O1111" s="1">
        <f>(ordersTable[[#This Row],[Quantity]]*ordersTable[[#This Row],[UnitPrice]])-ordersTable[[#This Row],[TotalPrice]]</f>
        <v>0</v>
      </c>
    </row>
    <row r="1112" spans="1:15" x14ac:dyDescent="0.3">
      <c r="A1112" s="1" t="s">
        <v>1124</v>
      </c>
      <c r="B1112" s="2">
        <v>45347</v>
      </c>
      <c r="C1112" s="3" t="s">
        <v>2315</v>
      </c>
      <c r="D1112" s="1" t="s">
        <v>2406</v>
      </c>
      <c r="E1112" s="5">
        <v>3</v>
      </c>
      <c r="F1112" s="4">
        <v>84.31</v>
      </c>
      <c r="G1112" s="1" t="s">
        <v>2443</v>
      </c>
      <c r="H1112" s="1" t="s">
        <v>3067</v>
      </c>
      <c r="I1112" s="1" t="s">
        <v>3070</v>
      </c>
      <c r="J1112" s="1" t="s">
        <v>4185</v>
      </c>
      <c r="K1112" s="1">
        <v>3</v>
      </c>
      <c r="L1112" s="1" t="s">
        <v>4275</v>
      </c>
      <c r="M1112" s="1" t="s">
        <v>4280</v>
      </c>
      <c r="N1112" s="1">
        <v>252.93</v>
      </c>
      <c r="O1112" s="1">
        <f>(ordersTable[[#This Row],[Quantity]]*ordersTable[[#This Row],[UnitPrice]])-ordersTable[[#This Row],[TotalPrice]]</f>
        <v>0</v>
      </c>
    </row>
    <row r="1113" spans="1:15" x14ac:dyDescent="0.3">
      <c r="A1113" s="1" t="s">
        <v>1125</v>
      </c>
      <c r="B1113" s="2">
        <v>45052</v>
      </c>
      <c r="C1113" s="3" t="s">
        <v>2316</v>
      </c>
      <c r="D1113" s="1" t="s">
        <v>2403</v>
      </c>
      <c r="E1113" s="5">
        <v>4</v>
      </c>
      <c r="F1113" s="4">
        <v>234.45</v>
      </c>
      <c r="G1113" s="1" t="s">
        <v>3035</v>
      </c>
      <c r="H1113" s="1" t="s">
        <v>3066</v>
      </c>
      <c r="I1113" s="1" t="s">
        <v>3071</v>
      </c>
      <c r="J1113" s="1" t="s">
        <v>4186</v>
      </c>
      <c r="K1113" s="1">
        <v>9</v>
      </c>
      <c r="L1113" s="1" t="s">
        <v>4276</v>
      </c>
      <c r="M1113" s="1" t="s">
        <v>4278</v>
      </c>
      <c r="N1113" s="1">
        <v>937.8</v>
      </c>
      <c r="O1113" s="1">
        <f>(ordersTable[[#This Row],[Quantity]]*ordersTable[[#This Row],[UnitPrice]])-ordersTable[[#This Row],[TotalPrice]]</f>
        <v>0</v>
      </c>
    </row>
    <row r="1114" spans="1:15" x14ac:dyDescent="0.3">
      <c r="A1114" s="1" t="s">
        <v>1126</v>
      </c>
      <c r="B1114" s="2">
        <v>45212</v>
      </c>
      <c r="C1114" s="3" t="s">
        <v>2317</v>
      </c>
      <c r="D1114" s="1" t="s">
        <v>2409</v>
      </c>
      <c r="E1114" s="5">
        <v>1</v>
      </c>
      <c r="F1114" s="4">
        <v>356.81</v>
      </c>
      <c r="G1114" s="1" t="s">
        <v>2526</v>
      </c>
      <c r="H1114" s="1" t="s">
        <v>3066</v>
      </c>
      <c r="I1114" s="1" t="s">
        <v>3073</v>
      </c>
      <c r="J1114" s="1" t="s">
        <v>4187</v>
      </c>
      <c r="K1114" s="1">
        <v>1</v>
      </c>
      <c r="L1114" s="1" t="s">
        <v>4277</v>
      </c>
      <c r="M1114" s="1" t="s">
        <v>4278</v>
      </c>
      <c r="N1114" s="1">
        <v>356.81</v>
      </c>
      <c r="O1114" s="1">
        <f>(ordersTable[[#This Row],[Quantity]]*ordersTable[[#This Row],[UnitPrice]])-ordersTable[[#This Row],[TotalPrice]]</f>
        <v>0</v>
      </c>
    </row>
    <row r="1115" spans="1:15" x14ac:dyDescent="0.3">
      <c r="A1115" s="1" t="s">
        <v>1127</v>
      </c>
      <c r="B1115" s="2">
        <v>45004</v>
      </c>
      <c r="C1115" s="3" t="s">
        <v>2318</v>
      </c>
      <c r="D1115" s="1" t="s">
        <v>2409</v>
      </c>
      <c r="E1115" s="5">
        <v>4</v>
      </c>
      <c r="F1115" s="4">
        <v>209.99</v>
      </c>
      <c r="G1115" s="1" t="s">
        <v>2982</v>
      </c>
      <c r="H1115" s="1" t="s">
        <v>3069</v>
      </c>
      <c r="I1115" s="1" t="s">
        <v>3073</v>
      </c>
      <c r="J1115" s="1" t="s">
        <v>4188</v>
      </c>
      <c r="K1115" s="1">
        <v>8</v>
      </c>
      <c r="M1115" s="1" t="s">
        <v>4282</v>
      </c>
      <c r="N1115" s="1">
        <v>839.96</v>
      </c>
      <c r="O1115" s="1">
        <f>(ordersTable[[#This Row],[Quantity]]*ordersTable[[#This Row],[UnitPrice]])-ordersTable[[#This Row],[TotalPrice]]</f>
        <v>0</v>
      </c>
    </row>
    <row r="1116" spans="1:15" x14ac:dyDescent="0.3">
      <c r="A1116" s="1" t="s">
        <v>1128</v>
      </c>
      <c r="B1116" s="2">
        <v>45001</v>
      </c>
      <c r="C1116" s="3" t="s">
        <v>2319</v>
      </c>
      <c r="D1116" s="1" t="s">
        <v>2405</v>
      </c>
      <c r="E1116" s="5">
        <v>3</v>
      </c>
      <c r="F1116" s="4">
        <v>659.88</v>
      </c>
      <c r="G1116" s="1" t="s">
        <v>2591</v>
      </c>
      <c r="H1116" s="1" t="s">
        <v>3068</v>
      </c>
      <c r="I1116" s="1" t="s">
        <v>3071</v>
      </c>
      <c r="J1116" s="1" t="s">
        <v>4189</v>
      </c>
      <c r="K1116" s="1">
        <v>3</v>
      </c>
      <c r="M1116" s="1" t="s">
        <v>4282</v>
      </c>
      <c r="N1116" s="1">
        <v>1979.64</v>
      </c>
      <c r="O1116" s="1">
        <f>(ordersTable[[#This Row],[Quantity]]*ordersTable[[#This Row],[UnitPrice]])-ordersTable[[#This Row],[TotalPrice]]</f>
        <v>0</v>
      </c>
    </row>
    <row r="1117" spans="1:15" x14ac:dyDescent="0.3">
      <c r="A1117" s="1" t="s">
        <v>1129</v>
      </c>
      <c r="B1117" s="2">
        <v>45828</v>
      </c>
      <c r="C1117" s="3" t="s">
        <v>2320</v>
      </c>
      <c r="D1117" s="1" t="s">
        <v>2408</v>
      </c>
      <c r="E1117" s="5">
        <v>2</v>
      </c>
      <c r="F1117" s="4">
        <v>336.32</v>
      </c>
      <c r="G1117" s="1" t="s">
        <v>2613</v>
      </c>
      <c r="H1117" s="1" t="s">
        <v>3066</v>
      </c>
      <c r="I1117" s="1" t="s">
        <v>3072</v>
      </c>
      <c r="J1117" s="1" t="s">
        <v>4190</v>
      </c>
      <c r="K1117" s="1">
        <v>3</v>
      </c>
      <c r="M1117" s="1" t="s">
        <v>4282</v>
      </c>
      <c r="N1117" s="1">
        <v>672.64</v>
      </c>
      <c r="O1117" s="1">
        <f>(ordersTable[[#This Row],[Quantity]]*ordersTable[[#This Row],[UnitPrice]])-ordersTable[[#This Row],[TotalPrice]]</f>
        <v>0</v>
      </c>
    </row>
    <row r="1118" spans="1:15" x14ac:dyDescent="0.3">
      <c r="A1118" s="1" t="s">
        <v>1130</v>
      </c>
      <c r="B1118" s="2">
        <v>45213</v>
      </c>
      <c r="C1118" s="3" t="s">
        <v>2321</v>
      </c>
      <c r="D1118" s="1" t="s">
        <v>2407</v>
      </c>
      <c r="E1118" s="5">
        <v>2</v>
      </c>
      <c r="F1118" s="4">
        <v>531.49</v>
      </c>
      <c r="G1118" s="1" t="s">
        <v>2613</v>
      </c>
      <c r="H1118" s="1" t="s">
        <v>3067</v>
      </c>
      <c r="I1118" s="1" t="s">
        <v>3073</v>
      </c>
      <c r="J1118" s="1" t="s">
        <v>4191</v>
      </c>
      <c r="K1118" s="1">
        <v>7</v>
      </c>
      <c r="L1118" s="1" t="s">
        <v>4277</v>
      </c>
      <c r="M1118" s="1" t="s">
        <v>4281</v>
      </c>
      <c r="N1118" s="1">
        <v>1062.98</v>
      </c>
      <c r="O1118" s="1">
        <f>(ordersTable[[#This Row],[Quantity]]*ordersTable[[#This Row],[UnitPrice]])-ordersTable[[#This Row],[TotalPrice]]</f>
        <v>0</v>
      </c>
    </row>
    <row r="1119" spans="1:15" x14ac:dyDescent="0.3">
      <c r="A1119" s="1" t="s">
        <v>1131</v>
      </c>
      <c r="B1119" s="2">
        <v>45432</v>
      </c>
      <c r="C1119" s="3" t="s">
        <v>2322</v>
      </c>
      <c r="D1119" s="1" t="s">
        <v>2406</v>
      </c>
      <c r="E1119" s="5">
        <v>3</v>
      </c>
      <c r="F1119" s="4">
        <v>588.44000000000005</v>
      </c>
      <c r="G1119" s="1" t="s">
        <v>2734</v>
      </c>
      <c r="H1119" s="1" t="s">
        <v>3068</v>
      </c>
      <c r="I1119" s="1" t="s">
        <v>3070</v>
      </c>
      <c r="J1119" s="1" t="s">
        <v>4192</v>
      </c>
      <c r="K1119" s="1">
        <v>8</v>
      </c>
      <c r="L1119" s="1" t="s">
        <v>4277</v>
      </c>
      <c r="M1119" s="1" t="s">
        <v>4282</v>
      </c>
      <c r="N1119" s="1">
        <v>1765.32</v>
      </c>
      <c r="O1119" s="1">
        <f>(ordersTable[[#This Row],[Quantity]]*ordersTable[[#This Row],[UnitPrice]])-ordersTable[[#This Row],[TotalPrice]]</f>
        <v>0</v>
      </c>
    </row>
    <row r="1120" spans="1:15" x14ac:dyDescent="0.3">
      <c r="A1120" s="1" t="s">
        <v>1132</v>
      </c>
      <c r="B1120" s="2">
        <v>45436</v>
      </c>
      <c r="C1120" s="3" t="s">
        <v>2323</v>
      </c>
      <c r="D1120" s="1" t="s">
        <v>2404</v>
      </c>
      <c r="E1120" s="5">
        <v>3</v>
      </c>
      <c r="F1120" s="4">
        <v>251.48</v>
      </c>
      <c r="G1120" s="1" t="s">
        <v>2729</v>
      </c>
      <c r="H1120" s="1" t="s">
        <v>3067</v>
      </c>
      <c r="I1120" s="1" t="s">
        <v>3072</v>
      </c>
      <c r="J1120" s="1" t="s">
        <v>4193</v>
      </c>
      <c r="K1120" s="1">
        <v>4</v>
      </c>
      <c r="M1120" s="1" t="s">
        <v>4280</v>
      </c>
      <c r="N1120" s="1">
        <v>754.43999999999994</v>
      </c>
      <c r="O1120" s="1">
        <f>(ordersTable[[#This Row],[Quantity]]*ordersTable[[#This Row],[UnitPrice]])-ordersTable[[#This Row],[TotalPrice]]</f>
        <v>0</v>
      </c>
    </row>
    <row r="1121" spans="1:15" x14ac:dyDescent="0.3">
      <c r="A1121" s="1" t="s">
        <v>1133</v>
      </c>
      <c r="B1121" s="2">
        <v>45620</v>
      </c>
      <c r="C1121" s="3" t="s">
        <v>2324</v>
      </c>
      <c r="D1121" s="1" t="s">
        <v>2408</v>
      </c>
      <c r="E1121" s="5">
        <v>1</v>
      </c>
      <c r="F1121" s="4">
        <v>684.65</v>
      </c>
      <c r="G1121" s="1" t="s">
        <v>2634</v>
      </c>
      <c r="H1121" s="1" t="s">
        <v>3067</v>
      </c>
      <c r="I1121" s="1" t="s">
        <v>3073</v>
      </c>
      <c r="J1121" s="1" t="s">
        <v>4194</v>
      </c>
      <c r="K1121" s="1">
        <v>1</v>
      </c>
      <c r="L1121" s="1" t="s">
        <v>4276</v>
      </c>
      <c r="M1121" s="1" t="s">
        <v>4280</v>
      </c>
      <c r="N1121" s="1">
        <v>684.65</v>
      </c>
      <c r="O1121" s="1">
        <f>(ordersTable[[#This Row],[Quantity]]*ordersTable[[#This Row],[UnitPrice]])-ordersTable[[#This Row],[TotalPrice]]</f>
        <v>0</v>
      </c>
    </row>
    <row r="1122" spans="1:15" x14ac:dyDescent="0.3">
      <c r="A1122" s="1" t="s">
        <v>1134</v>
      </c>
      <c r="B1122" s="2">
        <v>45787</v>
      </c>
      <c r="C1122" s="3" t="s">
        <v>2325</v>
      </c>
      <c r="D1122" s="1" t="s">
        <v>2405</v>
      </c>
      <c r="E1122" s="5">
        <v>1</v>
      </c>
      <c r="F1122" s="4">
        <v>195.86</v>
      </c>
      <c r="G1122" s="1" t="s">
        <v>2450</v>
      </c>
      <c r="H1122" s="1" t="s">
        <v>3066</v>
      </c>
      <c r="I1122" s="1" t="s">
        <v>3074</v>
      </c>
      <c r="J1122" s="1" t="s">
        <v>4195</v>
      </c>
      <c r="K1122" s="1">
        <v>3</v>
      </c>
      <c r="M1122" s="1" t="s">
        <v>4281</v>
      </c>
      <c r="N1122" s="1">
        <v>195.86</v>
      </c>
      <c r="O1122" s="1">
        <f>(ordersTable[[#This Row],[Quantity]]*ordersTable[[#This Row],[UnitPrice]])-ordersTable[[#This Row],[TotalPrice]]</f>
        <v>0</v>
      </c>
    </row>
    <row r="1123" spans="1:15" x14ac:dyDescent="0.3">
      <c r="A1123" s="1" t="s">
        <v>1135</v>
      </c>
      <c r="B1123" s="2">
        <v>45074</v>
      </c>
      <c r="C1123" s="3" t="s">
        <v>2326</v>
      </c>
      <c r="D1123" s="1" t="s">
        <v>2404</v>
      </c>
      <c r="E1123" s="5">
        <v>3</v>
      </c>
      <c r="F1123" s="4">
        <v>50.34</v>
      </c>
      <c r="G1123" s="1" t="s">
        <v>2965</v>
      </c>
      <c r="H1123" s="1" t="s">
        <v>3068</v>
      </c>
      <c r="I1123" s="1" t="s">
        <v>3072</v>
      </c>
      <c r="J1123" s="1" t="s">
        <v>4196</v>
      </c>
      <c r="K1123" s="1">
        <v>3</v>
      </c>
      <c r="L1123" s="1" t="s">
        <v>4276</v>
      </c>
      <c r="M1123" s="1" t="s">
        <v>4278</v>
      </c>
      <c r="N1123" s="1">
        <v>151.02000000000001</v>
      </c>
      <c r="O1123" s="1">
        <f>(ordersTable[[#This Row],[Quantity]]*ordersTable[[#This Row],[UnitPrice]])-ordersTable[[#This Row],[TotalPrice]]</f>
        <v>0</v>
      </c>
    </row>
    <row r="1124" spans="1:15" x14ac:dyDescent="0.3">
      <c r="A1124" s="1" t="s">
        <v>1136</v>
      </c>
      <c r="B1124" s="2">
        <v>45084</v>
      </c>
      <c r="C1124" s="3" t="s">
        <v>1480</v>
      </c>
      <c r="D1124" s="1" t="s">
        <v>2403</v>
      </c>
      <c r="E1124" s="5">
        <v>5</v>
      </c>
      <c r="F1124" s="4">
        <v>678.19</v>
      </c>
      <c r="G1124" s="1" t="s">
        <v>3008</v>
      </c>
      <c r="H1124" s="1" t="s">
        <v>3066</v>
      </c>
      <c r="I1124" s="1" t="s">
        <v>3072</v>
      </c>
      <c r="J1124" s="1" t="s">
        <v>4197</v>
      </c>
      <c r="K1124" s="1">
        <v>8</v>
      </c>
      <c r="M1124" s="1" t="s">
        <v>4281</v>
      </c>
      <c r="N1124" s="1">
        <v>3390.95</v>
      </c>
      <c r="O1124" s="1">
        <f>(ordersTable[[#This Row],[Quantity]]*ordersTable[[#This Row],[UnitPrice]])-ordersTable[[#This Row],[TotalPrice]]</f>
        <v>0</v>
      </c>
    </row>
    <row r="1125" spans="1:15" x14ac:dyDescent="0.3">
      <c r="A1125" s="1" t="s">
        <v>1137</v>
      </c>
      <c r="B1125" s="2">
        <v>45030</v>
      </c>
      <c r="C1125" s="3" t="s">
        <v>2327</v>
      </c>
      <c r="D1125" s="1" t="s">
        <v>2405</v>
      </c>
      <c r="E1125" s="5">
        <v>3</v>
      </c>
      <c r="F1125" s="4">
        <v>554.25</v>
      </c>
      <c r="G1125" s="1" t="s">
        <v>3036</v>
      </c>
      <c r="H1125" s="1" t="s">
        <v>3065</v>
      </c>
      <c r="I1125" s="1" t="s">
        <v>3070</v>
      </c>
      <c r="J1125" s="1" t="s">
        <v>4198</v>
      </c>
      <c r="K1125" s="1">
        <v>6</v>
      </c>
      <c r="L1125" s="1" t="s">
        <v>4277</v>
      </c>
      <c r="M1125" s="1" t="s">
        <v>4279</v>
      </c>
      <c r="N1125" s="1">
        <v>1662.75</v>
      </c>
      <c r="O1125" s="1">
        <f>(ordersTable[[#This Row],[Quantity]]*ordersTable[[#This Row],[UnitPrice]])-ordersTable[[#This Row],[TotalPrice]]</f>
        <v>0</v>
      </c>
    </row>
    <row r="1126" spans="1:15" x14ac:dyDescent="0.3">
      <c r="A1126" s="1" t="s">
        <v>1138</v>
      </c>
      <c r="B1126" s="2">
        <v>45055</v>
      </c>
      <c r="C1126" s="3" t="s">
        <v>2328</v>
      </c>
      <c r="D1126" s="1" t="s">
        <v>2406</v>
      </c>
      <c r="E1126" s="5">
        <v>4</v>
      </c>
      <c r="F1126" s="4">
        <v>576.87</v>
      </c>
      <c r="G1126" s="1" t="s">
        <v>3037</v>
      </c>
      <c r="H1126" s="1" t="s">
        <v>3068</v>
      </c>
      <c r="I1126" s="1" t="s">
        <v>3072</v>
      </c>
      <c r="J1126" s="1" t="s">
        <v>4199</v>
      </c>
      <c r="K1126" s="1">
        <v>5</v>
      </c>
      <c r="M1126" s="1" t="s">
        <v>4278</v>
      </c>
      <c r="N1126" s="1">
        <v>2307.48</v>
      </c>
      <c r="O1126" s="1">
        <f>(ordersTable[[#This Row],[Quantity]]*ordersTable[[#This Row],[UnitPrice]])-ordersTable[[#This Row],[TotalPrice]]</f>
        <v>0</v>
      </c>
    </row>
    <row r="1127" spans="1:15" x14ac:dyDescent="0.3">
      <c r="A1127" s="1" t="s">
        <v>1139</v>
      </c>
      <c r="B1127" s="2">
        <v>45215</v>
      </c>
      <c r="C1127" s="3" t="s">
        <v>2329</v>
      </c>
      <c r="D1127" s="1" t="s">
        <v>2409</v>
      </c>
      <c r="E1127" s="5">
        <v>4</v>
      </c>
      <c r="F1127" s="4">
        <v>408.36</v>
      </c>
      <c r="G1127" s="1" t="s">
        <v>2958</v>
      </c>
      <c r="H1127" s="1" t="s">
        <v>3068</v>
      </c>
      <c r="I1127" s="1" t="s">
        <v>3071</v>
      </c>
      <c r="J1127" s="1" t="s">
        <v>4200</v>
      </c>
      <c r="K1127" s="1">
        <v>4</v>
      </c>
      <c r="L1127" s="1" t="s">
        <v>4276</v>
      </c>
      <c r="M1127" s="1" t="s">
        <v>4279</v>
      </c>
      <c r="N1127" s="1">
        <v>1633.44</v>
      </c>
      <c r="O1127" s="1">
        <f>(ordersTable[[#This Row],[Quantity]]*ordersTable[[#This Row],[UnitPrice]])-ordersTable[[#This Row],[TotalPrice]]</f>
        <v>0</v>
      </c>
    </row>
    <row r="1128" spans="1:15" x14ac:dyDescent="0.3">
      <c r="A1128" s="1" t="s">
        <v>1140</v>
      </c>
      <c r="B1128" s="2">
        <v>45495</v>
      </c>
      <c r="C1128" s="3" t="s">
        <v>2330</v>
      </c>
      <c r="D1128" s="1" t="s">
        <v>2404</v>
      </c>
      <c r="E1128" s="5">
        <v>5</v>
      </c>
      <c r="F1128" s="4">
        <v>190.11</v>
      </c>
      <c r="G1128" s="1" t="s">
        <v>3038</v>
      </c>
      <c r="H1128" s="1" t="s">
        <v>3069</v>
      </c>
      <c r="I1128" s="1" t="s">
        <v>3073</v>
      </c>
      <c r="J1128" s="1" t="s">
        <v>4201</v>
      </c>
      <c r="K1128" s="1">
        <v>7</v>
      </c>
      <c r="L1128" s="1" t="s">
        <v>4275</v>
      </c>
      <c r="M1128" s="1" t="s">
        <v>4282</v>
      </c>
      <c r="N1128" s="1">
        <v>950.55000000000007</v>
      </c>
      <c r="O1128" s="1">
        <f>(ordersTable[[#This Row],[Quantity]]*ordersTable[[#This Row],[UnitPrice]])-ordersTable[[#This Row],[TotalPrice]]</f>
        <v>0</v>
      </c>
    </row>
    <row r="1129" spans="1:15" x14ac:dyDescent="0.3">
      <c r="A1129" s="1" t="s">
        <v>1141</v>
      </c>
      <c r="B1129" s="2">
        <v>45731</v>
      </c>
      <c r="C1129" s="3" t="s">
        <v>2331</v>
      </c>
      <c r="D1129" s="1" t="s">
        <v>2407</v>
      </c>
      <c r="E1129" s="5">
        <v>3</v>
      </c>
      <c r="F1129" s="4">
        <v>602.75</v>
      </c>
      <c r="G1129" s="1" t="s">
        <v>2939</v>
      </c>
      <c r="H1129" s="1" t="s">
        <v>3067</v>
      </c>
      <c r="I1129" s="1" t="s">
        <v>3070</v>
      </c>
      <c r="J1129" s="1" t="s">
        <v>4202</v>
      </c>
      <c r="K1129" s="1">
        <v>6</v>
      </c>
      <c r="L1129" s="1" t="s">
        <v>4275</v>
      </c>
      <c r="M1129" s="1" t="s">
        <v>4280</v>
      </c>
      <c r="N1129" s="1">
        <v>1808.25</v>
      </c>
      <c r="O1129" s="1">
        <f>(ordersTable[[#This Row],[Quantity]]*ordersTable[[#This Row],[UnitPrice]])-ordersTable[[#This Row],[TotalPrice]]</f>
        <v>0</v>
      </c>
    </row>
    <row r="1130" spans="1:15" x14ac:dyDescent="0.3">
      <c r="A1130" s="1" t="s">
        <v>1142</v>
      </c>
      <c r="B1130" s="2">
        <v>45155</v>
      </c>
      <c r="C1130" s="3" t="s">
        <v>2332</v>
      </c>
      <c r="D1130" s="1" t="s">
        <v>2403</v>
      </c>
      <c r="E1130" s="5">
        <v>3</v>
      </c>
      <c r="F1130" s="4">
        <v>646.79</v>
      </c>
      <c r="G1130" s="1" t="s">
        <v>2490</v>
      </c>
      <c r="H1130" s="1" t="s">
        <v>3069</v>
      </c>
      <c r="I1130" s="1" t="s">
        <v>3071</v>
      </c>
      <c r="J1130" s="1" t="s">
        <v>4203</v>
      </c>
      <c r="K1130" s="1">
        <v>5</v>
      </c>
      <c r="L1130" s="1" t="s">
        <v>4277</v>
      </c>
      <c r="M1130" s="1" t="s">
        <v>4282</v>
      </c>
      <c r="N1130" s="1">
        <v>1940.37</v>
      </c>
      <c r="O1130" s="1">
        <f>(ordersTable[[#This Row],[Quantity]]*ordersTable[[#This Row],[UnitPrice]])-ordersTable[[#This Row],[TotalPrice]]</f>
        <v>0</v>
      </c>
    </row>
    <row r="1131" spans="1:15" x14ac:dyDescent="0.3">
      <c r="A1131" s="1" t="s">
        <v>1143</v>
      </c>
      <c r="B1131" s="2">
        <v>45088</v>
      </c>
      <c r="C1131" s="3" t="s">
        <v>2333</v>
      </c>
      <c r="D1131" s="1" t="s">
        <v>2406</v>
      </c>
      <c r="E1131" s="5">
        <v>4</v>
      </c>
      <c r="F1131" s="4">
        <v>418.71</v>
      </c>
      <c r="G1131" s="1" t="s">
        <v>2480</v>
      </c>
      <c r="H1131" s="1" t="s">
        <v>3069</v>
      </c>
      <c r="I1131" s="1" t="s">
        <v>3074</v>
      </c>
      <c r="J1131" s="1" t="s">
        <v>4204</v>
      </c>
      <c r="K1131" s="1">
        <v>8</v>
      </c>
      <c r="L1131" s="1" t="s">
        <v>4276</v>
      </c>
      <c r="M1131" s="1" t="s">
        <v>4278</v>
      </c>
      <c r="N1131" s="1">
        <v>1674.84</v>
      </c>
      <c r="O1131" s="1">
        <f>(ordersTable[[#This Row],[Quantity]]*ordersTable[[#This Row],[UnitPrice]])-ordersTable[[#This Row],[TotalPrice]]</f>
        <v>0</v>
      </c>
    </row>
    <row r="1132" spans="1:15" x14ac:dyDescent="0.3">
      <c r="A1132" s="1" t="s">
        <v>1144</v>
      </c>
      <c r="B1132" s="2">
        <v>45704</v>
      </c>
      <c r="C1132" s="3" t="s">
        <v>2334</v>
      </c>
      <c r="D1132" s="1" t="s">
        <v>2408</v>
      </c>
      <c r="E1132" s="5">
        <v>2</v>
      </c>
      <c r="F1132" s="4">
        <v>323.45</v>
      </c>
      <c r="G1132" s="1" t="s">
        <v>2501</v>
      </c>
      <c r="H1132" s="1" t="s">
        <v>3067</v>
      </c>
      <c r="I1132" s="1" t="s">
        <v>3072</v>
      </c>
      <c r="J1132" s="1" t="s">
        <v>4205</v>
      </c>
      <c r="K1132" s="1">
        <v>5</v>
      </c>
      <c r="L1132" s="1" t="s">
        <v>4276</v>
      </c>
      <c r="M1132" s="1" t="s">
        <v>4278</v>
      </c>
      <c r="N1132" s="1">
        <v>646.9</v>
      </c>
      <c r="O1132" s="1">
        <f>(ordersTable[[#This Row],[Quantity]]*ordersTable[[#This Row],[UnitPrice]])-ordersTable[[#This Row],[TotalPrice]]</f>
        <v>0</v>
      </c>
    </row>
    <row r="1133" spans="1:15" x14ac:dyDescent="0.3">
      <c r="A1133" s="1" t="s">
        <v>1145</v>
      </c>
      <c r="B1133" s="2">
        <v>45491</v>
      </c>
      <c r="C1133" s="3" t="s">
        <v>2335</v>
      </c>
      <c r="D1133" s="1" t="s">
        <v>2404</v>
      </c>
      <c r="E1133" s="5">
        <v>1</v>
      </c>
      <c r="F1133" s="4">
        <v>694.5</v>
      </c>
      <c r="G1133" s="1" t="s">
        <v>2651</v>
      </c>
      <c r="H1133" s="1" t="s">
        <v>3067</v>
      </c>
      <c r="I1133" s="1" t="s">
        <v>3074</v>
      </c>
      <c r="J1133" s="1" t="s">
        <v>4206</v>
      </c>
      <c r="K1133" s="1">
        <v>3</v>
      </c>
      <c r="L1133" s="1" t="s">
        <v>4277</v>
      </c>
      <c r="M1133" s="1" t="s">
        <v>4281</v>
      </c>
      <c r="N1133" s="1">
        <v>694.5</v>
      </c>
      <c r="O1133" s="1">
        <f>(ordersTable[[#This Row],[Quantity]]*ordersTable[[#This Row],[UnitPrice]])-ordersTable[[#This Row],[TotalPrice]]</f>
        <v>0</v>
      </c>
    </row>
    <row r="1134" spans="1:15" x14ac:dyDescent="0.3">
      <c r="A1134" s="1" t="s">
        <v>1146</v>
      </c>
      <c r="B1134" s="2">
        <v>45628</v>
      </c>
      <c r="C1134" s="3" t="s">
        <v>2336</v>
      </c>
      <c r="D1134" s="1" t="s">
        <v>2406</v>
      </c>
      <c r="E1134" s="5">
        <v>2</v>
      </c>
      <c r="F1134" s="4">
        <v>337.32</v>
      </c>
      <c r="G1134" s="1" t="s">
        <v>2608</v>
      </c>
      <c r="H1134" s="1" t="s">
        <v>3067</v>
      </c>
      <c r="I1134" s="1" t="s">
        <v>3071</v>
      </c>
      <c r="J1134" s="1" t="s">
        <v>4207</v>
      </c>
      <c r="K1134" s="1">
        <v>4</v>
      </c>
      <c r="L1134" s="1" t="s">
        <v>4275</v>
      </c>
      <c r="M1134" s="1" t="s">
        <v>4280</v>
      </c>
      <c r="N1134" s="1">
        <v>674.64</v>
      </c>
      <c r="O1134" s="1">
        <f>(ordersTable[[#This Row],[Quantity]]*ordersTable[[#This Row],[UnitPrice]])-ordersTable[[#This Row],[TotalPrice]]</f>
        <v>0</v>
      </c>
    </row>
    <row r="1135" spans="1:15" x14ac:dyDescent="0.3">
      <c r="A1135" s="1" t="s">
        <v>1147</v>
      </c>
      <c r="B1135" s="2">
        <v>45391</v>
      </c>
      <c r="C1135" s="3" t="s">
        <v>2337</v>
      </c>
      <c r="D1135" s="1" t="s">
        <v>2407</v>
      </c>
      <c r="E1135" s="5">
        <v>2</v>
      </c>
      <c r="F1135" s="4">
        <v>467.91</v>
      </c>
      <c r="G1135" s="1" t="s">
        <v>2597</v>
      </c>
      <c r="H1135" s="1" t="s">
        <v>3068</v>
      </c>
      <c r="I1135" s="1" t="s">
        <v>3072</v>
      </c>
      <c r="J1135" s="1" t="s">
        <v>4208</v>
      </c>
      <c r="K1135" s="1">
        <v>5</v>
      </c>
      <c r="L1135" s="1" t="s">
        <v>4277</v>
      </c>
      <c r="M1135" s="1" t="s">
        <v>4281</v>
      </c>
      <c r="N1135" s="1">
        <v>935.82</v>
      </c>
      <c r="O1135" s="1">
        <f>(ordersTable[[#This Row],[Quantity]]*ordersTable[[#This Row],[UnitPrice]])-ordersTable[[#This Row],[TotalPrice]]</f>
        <v>0</v>
      </c>
    </row>
    <row r="1136" spans="1:15" x14ac:dyDescent="0.3">
      <c r="A1136" s="1" t="s">
        <v>1148</v>
      </c>
      <c r="B1136" s="2">
        <v>45451</v>
      </c>
      <c r="C1136" s="3" t="s">
        <v>2338</v>
      </c>
      <c r="D1136" s="1" t="s">
        <v>2409</v>
      </c>
      <c r="E1136" s="5">
        <v>4</v>
      </c>
      <c r="F1136" s="4">
        <v>38.28</v>
      </c>
      <c r="G1136" s="1" t="s">
        <v>3039</v>
      </c>
      <c r="H1136" s="1" t="s">
        <v>3065</v>
      </c>
      <c r="I1136" s="1" t="s">
        <v>3071</v>
      </c>
      <c r="J1136" s="1" t="s">
        <v>4209</v>
      </c>
      <c r="K1136" s="1">
        <v>4</v>
      </c>
      <c r="L1136" s="1" t="s">
        <v>4277</v>
      </c>
      <c r="M1136" s="1" t="s">
        <v>4281</v>
      </c>
      <c r="N1136" s="1">
        <v>153.12</v>
      </c>
      <c r="O1136" s="1">
        <f>(ordersTable[[#This Row],[Quantity]]*ordersTable[[#This Row],[UnitPrice]])-ordersTable[[#This Row],[TotalPrice]]</f>
        <v>0</v>
      </c>
    </row>
    <row r="1137" spans="1:15" x14ac:dyDescent="0.3">
      <c r="A1137" s="1" t="s">
        <v>1149</v>
      </c>
      <c r="B1137" s="2">
        <v>45288</v>
      </c>
      <c r="C1137" s="3" t="s">
        <v>2339</v>
      </c>
      <c r="D1137" s="1" t="s">
        <v>2407</v>
      </c>
      <c r="E1137" s="5">
        <v>2</v>
      </c>
      <c r="F1137" s="4">
        <v>73.41</v>
      </c>
      <c r="G1137" s="1" t="s">
        <v>2613</v>
      </c>
      <c r="H1137" s="1" t="s">
        <v>3066</v>
      </c>
      <c r="I1137" s="1" t="s">
        <v>3070</v>
      </c>
      <c r="J1137" s="1" t="s">
        <v>4210</v>
      </c>
      <c r="K1137" s="1">
        <v>2</v>
      </c>
      <c r="L1137" s="1" t="s">
        <v>4275</v>
      </c>
      <c r="M1137" s="1" t="s">
        <v>4282</v>
      </c>
      <c r="N1137" s="1">
        <v>146.82</v>
      </c>
      <c r="O1137" s="1">
        <f>(ordersTable[[#This Row],[Quantity]]*ordersTable[[#This Row],[UnitPrice]])-ordersTable[[#This Row],[TotalPrice]]</f>
        <v>0</v>
      </c>
    </row>
    <row r="1138" spans="1:15" x14ac:dyDescent="0.3">
      <c r="A1138" s="1" t="s">
        <v>1150</v>
      </c>
      <c r="B1138" s="2">
        <v>45193</v>
      </c>
      <c r="C1138" s="3" t="s">
        <v>2340</v>
      </c>
      <c r="D1138" s="1" t="s">
        <v>2405</v>
      </c>
      <c r="E1138" s="5">
        <v>3</v>
      </c>
      <c r="F1138" s="4">
        <v>668.33</v>
      </c>
      <c r="G1138" s="1" t="s">
        <v>2882</v>
      </c>
      <c r="H1138" s="1" t="s">
        <v>3068</v>
      </c>
      <c r="I1138" s="1" t="s">
        <v>3074</v>
      </c>
      <c r="J1138" s="1" t="s">
        <v>4211</v>
      </c>
      <c r="K1138" s="1">
        <v>4</v>
      </c>
      <c r="L1138" s="1" t="s">
        <v>4277</v>
      </c>
      <c r="M1138" s="1" t="s">
        <v>4281</v>
      </c>
      <c r="N1138" s="1">
        <v>2004.99</v>
      </c>
      <c r="O1138" s="1">
        <f>(ordersTable[[#This Row],[Quantity]]*ordersTable[[#This Row],[UnitPrice]])-ordersTable[[#This Row],[TotalPrice]]</f>
        <v>0</v>
      </c>
    </row>
    <row r="1139" spans="1:15" x14ac:dyDescent="0.3">
      <c r="A1139" s="1" t="s">
        <v>1151</v>
      </c>
      <c r="B1139" s="2">
        <v>45502</v>
      </c>
      <c r="C1139" s="3" t="s">
        <v>2341</v>
      </c>
      <c r="D1139" s="1" t="s">
        <v>2407</v>
      </c>
      <c r="E1139" s="5">
        <v>4</v>
      </c>
      <c r="F1139" s="4">
        <v>410.21</v>
      </c>
      <c r="G1139" s="1" t="s">
        <v>3040</v>
      </c>
      <c r="H1139" s="1" t="s">
        <v>3069</v>
      </c>
      <c r="I1139" s="1" t="s">
        <v>3074</v>
      </c>
      <c r="J1139" s="1" t="s">
        <v>4212</v>
      </c>
      <c r="K1139" s="1">
        <v>5</v>
      </c>
      <c r="L1139" s="1" t="s">
        <v>4277</v>
      </c>
      <c r="M1139" s="1" t="s">
        <v>4278</v>
      </c>
      <c r="N1139" s="1">
        <v>1640.84</v>
      </c>
      <c r="O1139" s="1">
        <f>(ordersTable[[#This Row],[Quantity]]*ordersTable[[#This Row],[UnitPrice]])-ordersTable[[#This Row],[TotalPrice]]</f>
        <v>0</v>
      </c>
    </row>
    <row r="1140" spans="1:15" x14ac:dyDescent="0.3">
      <c r="A1140" s="1" t="s">
        <v>1152</v>
      </c>
      <c r="B1140" s="2">
        <v>45278</v>
      </c>
      <c r="C1140" s="3" t="s">
        <v>2342</v>
      </c>
      <c r="D1140" s="1" t="s">
        <v>2409</v>
      </c>
      <c r="E1140" s="5">
        <v>4</v>
      </c>
      <c r="F1140" s="4">
        <v>294.41000000000003</v>
      </c>
      <c r="G1140" s="1" t="s">
        <v>2865</v>
      </c>
      <c r="H1140" s="1" t="s">
        <v>3065</v>
      </c>
      <c r="I1140" s="1" t="s">
        <v>3074</v>
      </c>
      <c r="J1140" s="1" t="s">
        <v>4213</v>
      </c>
      <c r="K1140" s="1">
        <v>4</v>
      </c>
      <c r="M1140" s="1" t="s">
        <v>4278</v>
      </c>
      <c r="N1140" s="1">
        <v>1177.6400000000001</v>
      </c>
      <c r="O1140" s="1">
        <f>(ordersTable[[#This Row],[Quantity]]*ordersTable[[#This Row],[UnitPrice]])-ordersTable[[#This Row],[TotalPrice]]</f>
        <v>0</v>
      </c>
    </row>
    <row r="1141" spans="1:15" x14ac:dyDescent="0.3">
      <c r="A1141" s="1" t="s">
        <v>1153</v>
      </c>
      <c r="B1141" s="2">
        <v>45717</v>
      </c>
      <c r="C1141" s="3" t="s">
        <v>2256</v>
      </c>
      <c r="D1141" s="1" t="s">
        <v>2406</v>
      </c>
      <c r="E1141" s="5">
        <v>3</v>
      </c>
      <c r="F1141" s="4">
        <v>501.82</v>
      </c>
      <c r="G1141" s="1" t="s">
        <v>2438</v>
      </c>
      <c r="H1141" s="1" t="s">
        <v>3068</v>
      </c>
      <c r="I1141" s="1" t="s">
        <v>3071</v>
      </c>
      <c r="J1141" s="1" t="s">
        <v>4214</v>
      </c>
      <c r="K1141" s="1">
        <v>4</v>
      </c>
      <c r="L1141" s="1" t="s">
        <v>4276</v>
      </c>
      <c r="M1141" s="1" t="s">
        <v>4280</v>
      </c>
      <c r="N1141" s="1">
        <v>1505.46</v>
      </c>
      <c r="O1141" s="1">
        <f>(ordersTable[[#This Row],[Quantity]]*ordersTable[[#This Row],[UnitPrice]])-ordersTable[[#This Row],[TotalPrice]]</f>
        <v>0</v>
      </c>
    </row>
    <row r="1142" spans="1:15" x14ac:dyDescent="0.3">
      <c r="A1142" s="1" t="s">
        <v>1154</v>
      </c>
      <c r="B1142" s="2">
        <v>45467</v>
      </c>
      <c r="C1142" s="3" t="s">
        <v>2343</v>
      </c>
      <c r="D1142" s="1" t="s">
        <v>2407</v>
      </c>
      <c r="E1142" s="5">
        <v>2</v>
      </c>
      <c r="F1142" s="4">
        <v>552.83000000000004</v>
      </c>
      <c r="G1142" s="1" t="s">
        <v>2418</v>
      </c>
      <c r="H1142" s="1" t="s">
        <v>3067</v>
      </c>
      <c r="I1142" s="1" t="s">
        <v>3071</v>
      </c>
      <c r="J1142" s="1" t="s">
        <v>4215</v>
      </c>
      <c r="K1142" s="1">
        <v>3</v>
      </c>
      <c r="M1142" s="1" t="s">
        <v>4279</v>
      </c>
      <c r="N1142" s="1">
        <v>1105.6600000000001</v>
      </c>
      <c r="O1142" s="1">
        <f>(ordersTable[[#This Row],[Quantity]]*ordersTable[[#This Row],[UnitPrice]])-ordersTable[[#This Row],[TotalPrice]]</f>
        <v>0</v>
      </c>
    </row>
    <row r="1143" spans="1:15" x14ac:dyDescent="0.3">
      <c r="A1143" s="1" t="s">
        <v>1155</v>
      </c>
      <c r="B1143" s="2">
        <v>45704</v>
      </c>
      <c r="C1143" s="3" t="s">
        <v>2344</v>
      </c>
      <c r="D1143" s="1" t="s">
        <v>2406</v>
      </c>
      <c r="E1143" s="5">
        <v>3</v>
      </c>
      <c r="F1143" s="4">
        <v>498.66</v>
      </c>
      <c r="G1143" s="1" t="s">
        <v>2427</v>
      </c>
      <c r="H1143" s="1" t="s">
        <v>3069</v>
      </c>
      <c r="I1143" s="1" t="s">
        <v>3071</v>
      </c>
      <c r="J1143" s="1" t="s">
        <v>4216</v>
      </c>
      <c r="K1143" s="1">
        <v>6</v>
      </c>
      <c r="M1143" s="1" t="s">
        <v>4280</v>
      </c>
      <c r="N1143" s="1">
        <v>1495.98</v>
      </c>
      <c r="O1143" s="1">
        <f>(ordersTable[[#This Row],[Quantity]]*ordersTable[[#This Row],[UnitPrice]])-ordersTable[[#This Row],[TotalPrice]]</f>
        <v>0</v>
      </c>
    </row>
    <row r="1144" spans="1:15" x14ac:dyDescent="0.3">
      <c r="A1144" s="1" t="s">
        <v>1156</v>
      </c>
      <c r="B1144" s="2">
        <v>45527</v>
      </c>
      <c r="C1144" s="3" t="s">
        <v>2345</v>
      </c>
      <c r="D1144" s="1" t="s">
        <v>2404</v>
      </c>
      <c r="E1144" s="5">
        <v>4</v>
      </c>
      <c r="F1144" s="4">
        <v>695.1</v>
      </c>
      <c r="G1144" s="1" t="s">
        <v>3041</v>
      </c>
      <c r="H1144" s="1" t="s">
        <v>3065</v>
      </c>
      <c r="I1144" s="1" t="s">
        <v>3072</v>
      </c>
      <c r="J1144" s="1" t="s">
        <v>4217</v>
      </c>
      <c r="K1144" s="1">
        <v>8</v>
      </c>
      <c r="M1144" s="1" t="s">
        <v>4280</v>
      </c>
      <c r="N1144" s="1">
        <v>2780.4</v>
      </c>
      <c r="O1144" s="1">
        <f>(ordersTable[[#This Row],[Quantity]]*ordersTable[[#This Row],[UnitPrice]])-ordersTable[[#This Row],[TotalPrice]]</f>
        <v>0</v>
      </c>
    </row>
    <row r="1145" spans="1:15" x14ac:dyDescent="0.3">
      <c r="A1145" s="1" t="s">
        <v>1157</v>
      </c>
      <c r="B1145" s="2">
        <v>45019</v>
      </c>
      <c r="C1145" s="3" t="s">
        <v>2346</v>
      </c>
      <c r="D1145" s="1" t="s">
        <v>2406</v>
      </c>
      <c r="E1145" s="5">
        <v>1</v>
      </c>
      <c r="F1145" s="4">
        <v>381.61</v>
      </c>
      <c r="G1145" s="1" t="s">
        <v>3042</v>
      </c>
      <c r="H1145" s="1" t="s">
        <v>3065</v>
      </c>
      <c r="I1145" s="1" t="s">
        <v>3074</v>
      </c>
      <c r="J1145" s="1" t="s">
        <v>4218</v>
      </c>
      <c r="K1145" s="1">
        <v>5</v>
      </c>
      <c r="M1145" s="1" t="s">
        <v>4280</v>
      </c>
      <c r="N1145" s="1">
        <v>381.61</v>
      </c>
      <c r="O1145" s="1">
        <f>(ordersTable[[#This Row],[Quantity]]*ordersTable[[#This Row],[UnitPrice]])-ordersTable[[#This Row],[TotalPrice]]</f>
        <v>0</v>
      </c>
    </row>
    <row r="1146" spans="1:15" x14ac:dyDescent="0.3">
      <c r="A1146" s="1" t="s">
        <v>1158</v>
      </c>
      <c r="B1146" s="2">
        <v>44973</v>
      </c>
      <c r="C1146" s="3" t="s">
        <v>2347</v>
      </c>
      <c r="D1146" s="1" t="s">
        <v>2409</v>
      </c>
      <c r="E1146" s="5">
        <v>5</v>
      </c>
      <c r="F1146" s="4">
        <v>507.94</v>
      </c>
      <c r="G1146" s="1" t="s">
        <v>3043</v>
      </c>
      <c r="H1146" s="1" t="s">
        <v>3066</v>
      </c>
      <c r="I1146" s="1" t="s">
        <v>3071</v>
      </c>
      <c r="J1146" s="1" t="s">
        <v>4219</v>
      </c>
      <c r="K1146" s="1">
        <v>9</v>
      </c>
      <c r="M1146" s="1" t="s">
        <v>4281</v>
      </c>
      <c r="N1146" s="1">
        <v>2539.6999999999998</v>
      </c>
      <c r="O1146" s="1">
        <f>(ordersTable[[#This Row],[Quantity]]*ordersTable[[#This Row],[UnitPrice]])-ordersTable[[#This Row],[TotalPrice]]</f>
        <v>0</v>
      </c>
    </row>
    <row r="1147" spans="1:15" x14ac:dyDescent="0.3">
      <c r="A1147" s="1" t="s">
        <v>1159</v>
      </c>
      <c r="B1147" s="2">
        <v>45789</v>
      </c>
      <c r="C1147" s="3" t="s">
        <v>2348</v>
      </c>
      <c r="D1147" s="1" t="s">
        <v>2409</v>
      </c>
      <c r="E1147" s="5">
        <v>3</v>
      </c>
      <c r="F1147" s="4">
        <v>571.53</v>
      </c>
      <c r="G1147" s="1" t="s">
        <v>2628</v>
      </c>
      <c r="H1147" s="1" t="s">
        <v>3065</v>
      </c>
      <c r="I1147" s="1" t="s">
        <v>3073</v>
      </c>
      <c r="J1147" s="1" t="s">
        <v>4220</v>
      </c>
      <c r="K1147" s="1">
        <v>6</v>
      </c>
      <c r="L1147" s="1" t="s">
        <v>4276</v>
      </c>
      <c r="M1147" s="1" t="s">
        <v>4281</v>
      </c>
      <c r="N1147" s="1">
        <v>1714.59</v>
      </c>
      <c r="O1147" s="1">
        <f>(ordersTable[[#This Row],[Quantity]]*ordersTable[[#This Row],[UnitPrice]])-ordersTable[[#This Row],[TotalPrice]]</f>
        <v>0</v>
      </c>
    </row>
    <row r="1148" spans="1:15" x14ac:dyDescent="0.3">
      <c r="A1148" s="1" t="s">
        <v>1160</v>
      </c>
      <c r="B1148" s="2">
        <v>45568</v>
      </c>
      <c r="C1148" s="3" t="s">
        <v>2349</v>
      </c>
      <c r="D1148" s="1" t="s">
        <v>2403</v>
      </c>
      <c r="E1148" s="5">
        <v>5</v>
      </c>
      <c r="F1148" s="4">
        <v>421.44</v>
      </c>
      <c r="G1148" s="1" t="s">
        <v>2761</v>
      </c>
      <c r="H1148" s="1" t="s">
        <v>3069</v>
      </c>
      <c r="I1148" s="1" t="s">
        <v>3074</v>
      </c>
      <c r="J1148" s="1" t="s">
        <v>4221</v>
      </c>
      <c r="K1148" s="1">
        <v>5</v>
      </c>
      <c r="L1148" s="1" t="s">
        <v>4275</v>
      </c>
      <c r="M1148" s="1" t="s">
        <v>4278</v>
      </c>
      <c r="N1148" s="1">
        <v>2107.1999999999998</v>
      </c>
      <c r="O1148" s="1">
        <f>(ordersTable[[#This Row],[Quantity]]*ordersTable[[#This Row],[UnitPrice]])-ordersTable[[#This Row],[TotalPrice]]</f>
        <v>0</v>
      </c>
    </row>
    <row r="1149" spans="1:15" x14ac:dyDescent="0.3">
      <c r="A1149" s="1" t="s">
        <v>1161</v>
      </c>
      <c r="B1149" s="2">
        <v>45659</v>
      </c>
      <c r="C1149" s="3" t="s">
        <v>2350</v>
      </c>
      <c r="D1149" s="1" t="s">
        <v>2406</v>
      </c>
      <c r="E1149" s="5">
        <v>2</v>
      </c>
      <c r="F1149" s="4">
        <v>588.29999999999995</v>
      </c>
      <c r="G1149" s="1" t="s">
        <v>3044</v>
      </c>
      <c r="H1149" s="1" t="s">
        <v>3066</v>
      </c>
      <c r="I1149" s="1" t="s">
        <v>3074</v>
      </c>
      <c r="J1149" s="1" t="s">
        <v>4222</v>
      </c>
      <c r="K1149" s="1">
        <v>2</v>
      </c>
      <c r="L1149" s="1" t="s">
        <v>4276</v>
      </c>
      <c r="M1149" s="1" t="s">
        <v>4280</v>
      </c>
      <c r="N1149" s="1">
        <v>1176.5999999999999</v>
      </c>
      <c r="O1149" s="1">
        <f>(ordersTable[[#This Row],[Quantity]]*ordersTable[[#This Row],[UnitPrice]])-ordersTable[[#This Row],[TotalPrice]]</f>
        <v>0</v>
      </c>
    </row>
    <row r="1150" spans="1:15" x14ac:dyDescent="0.3">
      <c r="A1150" s="1" t="s">
        <v>1162</v>
      </c>
      <c r="B1150" s="2">
        <v>45468</v>
      </c>
      <c r="C1150" s="3" t="s">
        <v>2351</v>
      </c>
      <c r="D1150" s="1" t="s">
        <v>2404</v>
      </c>
      <c r="E1150" s="5">
        <v>1</v>
      </c>
      <c r="F1150" s="4">
        <v>355.15</v>
      </c>
      <c r="G1150" s="1" t="s">
        <v>3045</v>
      </c>
      <c r="H1150" s="1" t="s">
        <v>3069</v>
      </c>
      <c r="I1150" s="1" t="s">
        <v>3072</v>
      </c>
      <c r="J1150" s="1" t="s">
        <v>4223</v>
      </c>
      <c r="K1150" s="1">
        <v>2</v>
      </c>
      <c r="L1150" s="1" t="s">
        <v>4275</v>
      </c>
      <c r="M1150" s="1" t="s">
        <v>4280</v>
      </c>
      <c r="N1150" s="1">
        <v>355.15</v>
      </c>
      <c r="O1150" s="1">
        <f>(ordersTable[[#This Row],[Quantity]]*ordersTable[[#This Row],[UnitPrice]])-ordersTable[[#This Row],[TotalPrice]]</f>
        <v>0</v>
      </c>
    </row>
    <row r="1151" spans="1:15" x14ac:dyDescent="0.3">
      <c r="A1151" s="1" t="s">
        <v>1163</v>
      </c>
      <c r="B1151" s="2">
        <v>45498</v>
      </c>
      <c r="C1151" s="3" t="s">
        <v>2352</v>
      </c>
      <c r="D1151" s="1" t="s">
        <v>2406</v>
      </c>
      <c r="E1151" s="5">
        <v>2</v>
      </c>
      <c r="F1151" s="4">
        <v>695.29</v>
      </c>
      <c r="G1151" s="1" t="s">
        <v>3046</v>
      </c>
      <c r="H1151" s="1" t="s">
        <v>3067</v>
      </c>
      <c r="I1151" s="1" t="s">
        <v>3074</v>
      </c>
      <c r="J1151" s="1" t="s">
        <v>4224</v>
      </c>
      <c r="K1151" s="1">
        <v>6</v>
      </c>
      <c r="L1151" s="1" t="s">
        <v>4276</v>
      </c>
      <c r="M1151" s="1" t="s">
        <v>4278</v>
      </c>
      <c r="N1151" s="1">
        <v>1390.58</v>
      </c>
      <c r="O1151" s="1">
        <f>(ordersTable[[#This Row],[Quantity]]*ordersTable[[#This Row],[UnitPrice]])-ordersTable[[#This Row],[TotalPrice]]</f>
        <v>0</v>
      </c>
    </row>
    <row r="1152" spans="1:15" x14ac:dyDescent="0.3">
      <c r="A1152" s="1" t="s">
        <v>1164</v>
      </c>
      <c r="B1152" s="2">
        <v>44977</v>
      </c>
      <c r="C1152" s="3" t="s">
        <v>2353</v>
      </c>
      <c r="D1152" s="1" t="s">
        <v>2409</v>
      </c>
      <c r="E1152" s="5">
        <v>4</v>
      </c>
      <c r="F1152" s="4">
        <v>302.64999999999998</v>
      </c>
      <c r="G1152" s="1" t="s">
        <v>2642</v>
      </c>
      <c r="H1152" s="1" t="s">
        <v>3067</v>
      </c>
      <c r="I1152" s="1" t="s">
        <v>3071</v>
      </c>
      <c r="J1152" s="1" t="s">
        <v>4225</v>
      </c>
      <c r="K1152" s="1">
        <v>8</v>
      </c>
      <c r="L1152" s="1" t="s">
        <v>4275</v>
      </c>
      <c r="M1152" s="1" t="s">
        <v>4279</v>
      </c>
      <c r="N1152" s="1">
        <v>1210.5999999999999</v>
      </c>
      <c r="O1152" s="1">
        <f>(ordersTable[[#This Row],[Quantity]]*ordersTable[[#This Row],[UnitPrice]])-ordersTable[[#This Row],[TotalPrice]]</f>
        <v>0</v>
      </c>
    </row>
    <row r="1153" spans="1:15" x14ac:dyDescent="0.3">
      <c r="A1153" s="1" t="s">
        <v>1165</v>
      </c>
      <c r="B1153" s="2">
        <v>44955</v>
      </c>
      <c r="C1153" s="3" t="s">
        <v>2354</v>
      </c>
      <c r="D1153" s="1" t="s">
        <v>2406</v>
      </c>
      <c r="E1153" s="5">
        <v>2</v>
      </c>
      <c r="F1153" s="4">
        <v>608.04</v>
      </c>
      <c r="G1153" s="1" t="s">
        <v>3047</v>
      </c>
      <c r="H1153" s="1" t="s">
        <v>3069</v>
      </c>
      <c r="I1153" s="1" t="s">
        <v>3071</v>
      </c>
      <c r="J1153" s="1" t="s">
        <v>4226</v>
      </c>
      <c r="K1153" s="1">
        <v>4</v>
      </c>
      <c r="M1153" s="1" t="s">
        <v>4282</v>
      </c>
      <c r="N1153" s="1">
        <v>1216.08</v>
      </c>
      <c r="O1153" s="1">
        <f>(ordersTable[[#This Row],[Quantity]]*ordersTable[[#This Row],[UnitPrice]])-ordersTable[[#This Row],[TotalPrice]]</f>
        <v>0</v>
      </c>
    </row>
    <row r="1154" spans="1:15" x14ac:dyDescent="0.3">
      <c r="A1154" s="1" t="s">
        <v>1166</v>
      </c>
      <c r="B1154" s="2">
        <v>45239</v>
      </c>
      <c r="C1154" s="3" t="s">
        <v>2355</v>
      </c>
      <c r="D1154" s="1" t="s">
        <v>2405</v>
      </c>
      <c r="E1154" s="5">
        <v>2</v>
      </c>
      <c r="F1154" s="4">
        <v>344.18</v>
      </c>
      <c r="G1154" s="1" t="s">
        <v>2501</v>
      </c>
      <c r="H1154" s="1" t="s">
        <v>3067</v>
      </c>
      <c r="I1154" s="1" t="s">
        <v>3070</v>
      </c>
      <c r="J1154" s="1" t="s">
        <v>4227</v>
      </c>
      <c r="K1154" s="1">
        <v>7</v>
      </c>
      <c r="M1154" s="1" t="s">
        <v>4279</v>
      </c>
      <c r="N1154" s="1">
        <v>688.36</v>
      </c>
      <c r="O1154" s="1">
        <f>(ordersTable[[#This Row],[Quantity]]*ordersTable[[#This Row],[UnitPrice]])-ordersTable[[#This Row],[TotalPrice]]</f>
        <v>0</v>
      </c>
    </row>
    <row r="1155" spans="1:15" x14ac:dyDescent="0.3">
      <c r="A1155" s="1" t="s">
        <v>1167</v>
      </c>
      <c r="B1155" s="2">
        <v>45642</v>
      </c>
      <c r="C1155" s="3" t="s">
        <v>2356</v>
      </c>
      <c r="D1155" s="1" t="s">
        <v>2403</v>
      </c>
      <c r="E1155" s="5">
        <v>4</v>
      </c>
      <c r="F1155" s="4">
        <v>696.71</v>
      </c>
      <c r="G1155" s="1" t="s">
        <v>3048</v>
      </c>
      <c r="H1155" s="1" t="s">
        <v>3065</v>
      </c>
      <c r="I1155" s="1" t="s">
        <v>3070</v>
      </c>
      <c r="J1155" s="1" t="s">
        <v>4228</v>
      </c>
      <c r="K1155" s="1">
        <v>4</v>
      </c>
      <c r="M1155" s="1" t="s">
        <v>4278</v>
      </c>
      <c r="N1155" s="1">
        <v>2786.84</v>
      </c>
      <c r="O1155" s="1">
        <f>(ordersTable[[#This Row],[Quantity]]*ordersTable[[#This Row],[UnitPrice]])-ordersTable[[#This Row],[TotalPrice]]</f>
        <v>0</v>
      </c>
    </row>
    <row r="1156" spans="1:15" x14ac:dyDescent="0.3">
      <c r="A1156" s="1" t="s">
        <v>1168</v>
      </c>
      <c r="B1156" s="2">
        <v>45819</v>
      </c>
      <c r="C1156" s="3" t="s">
        <v>2357</v>
      </c>
      <c r="D1156" s="1" t="s">
        <v>2403</v>
      </c>
      <c r="E1156" s="5">
        <v>3</v>
      </c>
      <c r="F1156" s="4">
        <v>198.63</v>
      </c>
      <c r="G1156" s="1" t="s">
        <v>2520</v>
      </c>
      <c r="H1156" s="1" t="s">
        <v>3069</v>
      </c>
      <c r="I1156" s="1" t="s">
        <v>3074</v>
      </c>
      <c r="J1156" s="1" t="s">
        <v>4229</v>
      </c>
      <c r="K1156" s="1">
        <v>8</v>
      </c>
      <c r="L1156" s="1" t="s">
        <v>4275</v>
      </c>
      <c r="M1156" s="1" t="s">
        <v>4278</v>
      </c>
      <c r="N1156" s="1">
        <v>595.89</v>
      </c>
      <c r="O1156" s="1">
        <f>(ordersTable[[#This Row],[Quantity]]*ordersTable[[#This Row],[UnitPrice]])-ordersTable[[#This Row],[TotalPrice]]</f>
        <v>0</v>
      </c>
    </row>
    <row r="1157" spans="1:15" x14ac:dyDescent="0.3">
      <c r="A1157" s="1" t="s">
        <v>1169</v>
      </c>
      <c r="B1157" s="2">
        <v>45151</v>
      </c>
      <c r="C1157" s="3" t="s">
        <v>2358</v>
      </c>
      <c r="D1157" s="1" t="s">
        <v>2407</v>
      </c>
      <c r="E1157" s="5">
        <v>4</v>
      </c>
      <c r="F1157" s="4">
        <v>534.57000000000005</v>
      </c>
      <c r="G1157" s="1" t="s">
        <v>2558</v>
      </c>
      <c r="H1157" s="1" t="s">
        <v>3067</v>
      </c>
      <c r="I1157" s="1" t="s">
        <v>3073</v>
      </c>
      <c r="J1157" s="1" t="s">
        <v>4230</v>
      </c>
      <c r="K1157" s="1">
        <v>6</v>
      </c>
      <c r="L1157" s="1" t="s">
        <v>4276</v>
      </c>
      <c r="M1157" s="1" t="s">
        <v>4281</v>
      </c>
      <c r="N1157" s="1">
        <v>2138.2800000000002</v>
      </c>
      <c r="O1157" s="1">
        <f>(ordersTable[[#This Row],[Quantity]]*ordersTable[[#This Row],[UnitPrice]])-ordersTable[[#This Row],[TotalPrice]]</f>
        <v>0</v>
      </c>
    </row>
    <row r="1158" spans="1:15" x14ac:dyDescent="0.3">
      <c r="A1158" s="1" t="s">
        <v>1170</v>
      </c>
      <c r="B1158" s="2">
        <v>45126</v>
      </c>
      <c r="C1158" s="3" t="s">
        <v>2359</v>
      </c>
      <c r="D1158" s="1" t="s">
        <v>2408</v>
      </c>
      <c r="E1158" s="5">
        <v>4</v>
      </c>
      <c r="F1158" s="4">
        <v>690.78</v>
      </c>
      <c r="G1158" s="1" t="s">
        <v>2424</v>
      </c>
      <c r="H1158" s="1" t="s">
        <v>3067</v>
      </c>
      <c r="I1158" s="1" t="s">
        <v>3070</v>
      </c>
      <c r="J1158" s="1" t="s">
        <v>4231</v>
      </c>
      <c r="K1158" s="1">
        <v>9</v>
      </c>
      <c r="M1158" s="1" t="s">
        <v>4279</v>
      </c>
      <c r="N1158" s="1">
        <v>2763.12</v>
      </c>
      <c r="O1158" s="1">
        <f>(ordersTable[[#This Row],[Quantity]]*ordersTable[[#This Row],[UnitPrice]])-ordersTable[[#This Row],[TotalPrice]]</f>
        <v>0</v>
      </c>
    </row>
    <row r="1159" spans="1:15" x14ac:dyDescent="0.3">
      <c r="A1159" s="1" t="s">
        <v>1171</v>
      </c>
      <c r="B1159" s="2">
        <v>45441</v>
      </c>
      <c r="C1159" s="3" t="s">
        <v>2360</v>
      </c>
      <c r="D1159" s="1" t="s">
        <v>2403</v>
      </c>
      <c r="E1159" s="5">
        <v>3</v>
      </c>
      <c r="F1159" s="4">
        <v>301.55</v>
      </c>
      <c r="G1159" s="1" t="s">
        <v>2605</v>
      </c>
      <c r="H1159" s="1" t="s">
        <v>3065</v>
      </c>
      <c r="I1159" s="1" t="s">
        <v>3073</v>
      </c>
      <c r="J1159" s="1" t="s">
        <v>4232</v>
      </c>
      <c r="K1159" s="1">
        <v>5</v>
      </c>
      <c r="L1159" s="1" t="s">
        <v>4276</v>
      </c>
      <c r="M1159" s="1" t="s">
        <v>4282</v>
      </c>
      <c r="N1159" s="1">
        <v>904.65000000000009</v>
      </c>
      <c r="O1159" s="1">
        <f>(ordersTable[[#This Row],[Quantity]]*ordersTable[[#This Row],[UnitPrice]])-ordersTable[[#This Row],[TotalPrice]]</f>
        <v>0</v>
      </c>
    </row>
    <row r="1160" spans="1:15" x14ac:dyDescent="0.3">
      <c r="A1160" s="1" t="s">
        <v>1172</v>
      </c>
      <c r="B1160" s="2">
        <v>45036</v>
      </c>
      <c r="C1160" s="3" t="s">
        <v>2361</v>
      </c>
      <c r="D1160" s="1" t="s">
        <v>2403</v>
      </c>
      <c r="E1160" s="5">
        <v>4</v>
      </c>
      <c r="F1160" s="4">
        <v>27.42</v>
      </c>
      <c r="G1160" s="1" t="s">
        <v>2755</v>
      </c>
      <c r="H1160" s="1" t="s">
        <v>3065</v>
      </c>
      <c r="I1160" s="1" t="s">
        <v>3074</v>
      </c>
      <c r="J1160" s="1" t="s">
        <v>4233</v>
      </c>
      <c r="K1160" s="1">
        <v>4</v>
      </c>
      <c r="L1160" s="1" t="s">
        <v>4275</v>
      </c>
      <c r="M1160" s="1" t="s">
        <v>4279</v>
      </c>
      <c r="N1160" s="1">
        <v>109.68</v>
      </c>
      <c r="O1160" s="1">
        <f>(ordersTable[[#This Row],[Quantity]]*ordersTable[[#This Row],[UnitPrice]])-ordersTable[[#This Row],[TotalPrice]]</f>
        <v>0</v>
      </c>
    </row>
    <row r="1161" spans="1:15" x14ac:dyDescent="0.3">
      <c r="A1161" s="1" t="s">
        <v>1173</v>
      </c>
      <c r="B1161" s="2">
        <v>45345</v>
      </c>
      <c r="C1161" s="3" t="s">
        <v>2362</v>
      </c>
      <c r="D1161" s="1" t="s">
        <v>2409</v>
      </c>
      <c r="E1161" s="5">
        <v>4</v>
      </c>
      <c r="F1161" s="4">
        <v>466.7</v>
      </c>
      <c r="G1161" s="1" t="s">
        <v>2766</v>
      </c>
      <c r="H1161" s="1" t="s">
        <v>3065</v>
      </c>
      <c r="I1161" s="1" t="s">
        <v>3072</v>
      </c>
      <c r="J1161" s="1" t="s">
        <v>4234</v>
      </c>
      <c r="K1161" s="1">
        <v>8</v>
      </c>
      <c r="M1161" s="1" t="s">
        <v>4278</v>
      </c>
      <c r="N1161" s="1">
        <v>1866.8</v>
      </c>
      <c r="O1161" s="1">
        <f>(ordersTable[[#This Row],[Quantity]]*ordersTable[[#This Row],[UnitPrice]])-ordersTable[[#This Row],[TotalPrice]]</f>
        <v>0</v>
      </c>
    </row>
    <row r="1162" spans="1:15" x14ac:dyDescent="0.3">
      <c r="A1162" s="1" t="s">
        <v>1174</v>
      </c>
      <c r="B1162" s="2">
        <v>45539</v>
      </c>
      <c r="C1162" s="3" t="s">
        <v>2363</v>
      </c>
      <c r="D1162" s="1" t="s">
        <v>2409</v>
      </c>
      <c r="E1162" s="5">
        <v>1</v>
      </c>
      <c r="F1162" s="4">
        <v>541.64</v>
      </c>
      <c r="G1162" s="1" t="s">
        <v>2777</v>
      </c>
      <c r="H1162" s="1" t="s">
        <v>3065</v>
      </c>
      <c r="I1162" s="1" t="s">
        <v>3070</v>
      </c>
      <c r="J1162" s="1" t="s">
        <v>4235</v>
      </c>
      <c r="K1162" s="1">
        <v>5</v>
      </c>
      <c r="L1162" s="1" t="s">
        <v>4275</v>
      </c>
      <c r="M1162" s="1" t="s">
        <v>4280</v>
      </c>
      <c r="N1162" s="1">
        <v>541.64</v>
      </c>
      <c r="O1162" s="1">
        <f>(ordersTable[[#This Row],[Quantity]]*ordersTable[[#This Row],[UnitPrice]])-ordersTable[[#This Row],[TotalPrice]]</f>
        <v>0</v>
      </c>
    </row>
    <row r="1163" spans="1:15" x14ac:dyDescent="0.3">
      <c r="A1163" s="1" t="s">
        <v>1175</v>
      </c>
      <c r="B1163" s="2">
        <v>45215</v>
      </c>
      <c r="C1163" s="3" t="s">
        <v>2364</v>
      </c>
      <c r="D1163" s="1" t="s">
        <v>2404</v>
      </c>
      <c r="E1163" s="5">
        <v>1</v>
      </c>
      <c r="F1163" s="4">
        <v>11.39</v>
      </c>
      <c r="G1163" s="1" t="s">
        <v>2693</v>
      </c>
      <c r="H1163" s="1" t="s">
        <v>3069</v>
      </c>
      <c r="I1163" s="1" t="s">
        <v>3071</v>
      </c>
      <c r="J1163" s="1" t="s">
        <v>4236</v>
      </c>
      <c r="K1163" s="1">
        <v>6</v>
      </c>
      <c r="L1163" s="1" t="s">
        <v>4277</v>
      </c>
      <c r="M1163" s="1" t="s">
        <v>4280</v>
      </c>
      <c r="N1163" s="1">
        <v>11.39</v>
      </c>
      <c r="O1163" s="1">
        <f>(ordersTable[[#This Row],[Quantity]]*ordersTable[[#This Row],[UnitPrice]])-ordersTable[[#This Row],[TotalPrice]]</f>
        <v>0</v>
      </c>
    </row>
    <row r="1164" spans="1:15" x14ac:dyDescent="0.3">
      <c r="A1164" s="1" t="s">
        <v>1176</v>
      </c>
      <c r="B1164" s="2">
        <v>45727</v>
      </c>
      <c r="C1164" s="3" t="s">
        <v>2365</v>
      </c>
      <c r="D1164" s="1" t="s">
        <v>2404</v>
      </c>
      <c r="E1164" s="5">
        <v>2</v>
      </c>
      <c r="F1164" s="4">
        <v>224.37</v>
      </c>
      <c r="G1164" s="1" t="s">
        <v>3049</v>
      </c>
      <c r="H1164" s="1" t="s">
        <v>3065</v>
      </c>
      <c r="I1164" s="1" t="s">
        <v>3073</v>
      </c>
      <c r="J1164" s="1" t="s">
        <v>4237</v>
      </c>
      <c r="K1164" s="1">
        <v>3</v>
      </c>
      <c r="L1164" s="1" t="s">
        <v>4277</v>
      </c>
      <c r="M1164" s="1" t="s">
        <v>4279</v>
      </c>
      <c r="N1164" s="1">
        <v>448.74</v>
      </c>
      <c r="O1164" s="1">
        <f>(ordersTable[[#This Row],[Quantity]]*ordersTable[[#This Row],[UnitPrice]])-ordersTable[[#This Row],[TotalPrice]]</f>
        <v>0</v>
      </c>
    </row>
    <row r="1165" spans="1:15" x14ac:dyDescent="0.3">
      <c r="A1165" s="1" t="s">
        <v>1177</v>
      </c>
      <c r="B1165" s="2">
        <v>45454</v>
      </c>
      <c r="C1165" s="3" t="s">
        <v>2366</v>
      </c>
      <c r="D1165" s="1" t="s">
        <v>2408</v>
      </c>
      <c r="E1165" s="5">
        <v>3</v>
      </c>
      <c r="F1165" s="4">
        <v>306.29000000000002</v>
      </c>
      <c r="G1165" s="1" t="s">
        <v>3050</v>
      </c>
      <c r="H1165" s="1" t="s">
        <v>3067</v>
      </c>
      <c r="I1165" s="1" t="s">
        <v>3072</v>
      </c>
      <c r="J1165" s="1" t="s">
        <v>4238</v>
      </c>
      <c r="K1165" s="1">
        <v>7</v>
      </c>
      <c r="L1165" s="1" t="s">
        <v>4277</v>
      </c>
      <c r="M1165" s="1" t="s">
        <v>4278</v>
      </c>
      <c r="N1165" s="1">
        <v>918.87000000000012</v>
      </c>
      <c r="O1165" s="1">
        <f>(ordersTable[[#This Row],[Quantity]]*ordersTable[[#This Row],[UnitPrice]])-ordersTable[[#This Row],[TotalPrice]]</f>
        <v>0</v>
      </c>
    </row>
    <row r="1166" spans="1:15" x14ac:dyDescent="0.3">
      <c r="A1166" s="1" t="s">
        <v>1178</v>
      </c>
      <c r="B1166" s="2">
        <v>45299</v>
      </c>
      <c r="C1166" s="3" t="s">
        <v>2367</v>
      </c>
      <c r="D1166" s="1" t="s">
        <v>2405</v>
      </c>
      <c r="E1166" s="5">
        <v>5</v>
      </c>
      <c r="F1166" s="4">
        <v>315.57</v>
      </c>
      <c r="G1166" s="1" t="s">
        <v>2826</v>
      </c>
      <c r="H1166" s="1" t="s">
        <v>3065</v>
      </c>
      <c r="I1166" s="1" t="s">
        <v>3073</v>
      </c>
      <c r="J1166" s="1" t="s">
        <v>4239</v>
      </c>
      <c r="K1166" s="1">
        <v>6</v>
      </c>
      <c r="L1166" s="1" t="s">
        <v>4277</v>
      </c>
      <c r="M1166" s="1" t="s">
        <v>4280</v>
      </c>
      <c r="N1166" s="1">
        <v>1577.85</v>
      </c>
      <c r="O1166" s="1">
        <f>(ordersTable[[#This Row],[Quantity]]*ordersTable[[#This Row],[UnitPrice]])-ordersTable[[#This Row],[TotalPrice]]</f>
        <v>0</v>
      </c>
    </row>
    <row r="1167" spans="1:15" x14ac:dyDescent="0.3">
      <c r="A1167" s="1" t="s">
        <v>1179</v>
      </c>
      <c r="B1167" s="2">
        <v>45121</v>
      </c>
      <c r="C1167" s="3" t="s">
        <v>2368</v>
      </c>
      <c r="D1167" s="1" t="s">
        <v>2406</v>
      </c>
      <c r="E1167" s="5">
        <v>3</v>
      </c>
      <c r="F1167" s="4">
        <v>223.79</v>
      </c>
      <c r="G1167" s="1" t="s">
        <v>3051</v>
      </c>
      <c r="H1167" s="1" t="s">
        <v>3065</v>
      </c>
      <c r="I1167" s="1" t="s">
        <v>3074</v>
      </c>
      <c r="J1167" s="1" t="s">
        <v>4240</v>
      </c>
      <c r="K1167" s="1">
        <v>3</v>
      </c>
      <c r="M1167" s="1" t="s">
        <v>4282</v>
      </c>
      <c r="N1167" s="1">
        <v>671.37</v>
      </c>
      <c r="O1167" s="1">
        <f>(ordersTable[[#This Row],[Quantity]]*ordersTable[[#This Row],[UnitPrice]])-ordersTable[[#This Row],[TotalPrice]]</f>
        <v>0</v>
      </c>
    </row>
    <row r="1168" spans="1:15" x14ac:dyDescent="0.3">
      <c r="A1168" s="1" t="s">
        <v>1180</v>
      </c>
      <c r="B1168" s="2">
        <v>45138</v>
      </c>
      <c r="C1168" s="3" t="s">
        <v>2369</v>
      </c>
      <c r="D1168" s="1" t="s">
        <v>2406</v>
      </c>
      <c r="E1168" s="5">
        <v>3</v>
      </c>
      <c r="F1168" s="4">
        <v>324.47000000000003</v>
      </c>
      <c r="G1168" s="1" t="s">
        <v>2486</v>
      </c>
      <c r="H1168" s="1" t="s">
        <v>3069</v>
      </c>
      <c r="I1168" s="1" t="s">
        <v>3073</v>
      </c>
      <c r="J1168" s="1" t="s">
        <v>4241</v>
      </c>
      <c r="K1168" s="1">
        <v>4</v>
      </c>
      <c r="L1168" s="1" t="s">
        <v>4277</v>
      </c>
      <c r="M1168" s="1" t="s">
        <v>4280</v>
      </c>
      <c r="N1168" s="1">
        <v>973.41000000000008</v>
      </c>
      <c r="O1168" s="1">
        <f>(ordersTable[[#This Row],[Quantity]]*ordersTable[[#This Row],[UnitPrice]])-ordersTable[[#This Row],[TotalPrice]]</f>
        <v>0</v>
      </c>
    </row>
    <row r="1169" spans="1:15" x14ac:dyDescent="0.3">
      <c r="A1169" s="1" t="s">
        <v>1181</v>
      </c>
      <c r="B1169" s="2">
        <v>45216</v>
      </c>
      <c r="C1169" s="3" t="s">
        <v>2370</v>
      </c>
      <c r="D1169" s="1" t="s">
        <v>2407</v>
      </c>
      <c r="E1169" s="5">
        <v>2</v>
      </c>
      <c r="F1169" s="4">
        <v>92.87</v>
      </c>
      <c r="G1169" s="1" t="s">
        <v>2645</v>
      </c>
      <c r="H1169" s="1" t="s">
        <v>3067</v>
      </c>
      <c r="I1169" s="1" t="s">
        <v>3074</v>
      </c>
      <c r="J1169" s="1" t="s">
        <v>4242</v>
      </c>
      <c r="K1169" s="1">
        <v>5</v>
      </c>
      <c r="L1169" s="1" t="s">
        <v>4276</v>
      </c>
      <c r="M1169" s="1" t="s">
        <v>4281</v>
      </c>
      <c r="N1169" s="1">
        <v>185.74</v>
      </c>
      <c r="O1169" s="1">
        <f>(ordersTable[[#This Row],[Quantity]]*ordersTable[[#This Row],[UnitPrice]])-ordersTable[[#This Row],[TotalPrice]]</f>
        <v>0</v>
      </c>
    </row>
    <row r="1170" spans="1:15" x14ac:dyDescent="0.3">
      <c r="A1170" s="1" t="s">
        <v>1182</v>
      </c>
      <c r="B1170" s="2">
        <v>45024</v>
      </c>
      <c r="C1170" s="3" t="s">
        <v>2371</v>
      </c>
      <c r="D1170" s="1" t="s">
        <v>2408</v>
      </c>
      <c r="E1170" s="5">
        <v>2</v>
      </c>
      <c r="F1170" s="4">
        <v>331.42</v>
      </c>
      <c r="G1170" s="1" t="s">
        <v>3052</v>
      </c>
      <c r="H1170" s="1" t="s">
        <v>3067</v>
      </c>
      <c r="I1170" s="1" t="s">
        <v>3073</v>
      </c>
      <c r="J1170" s="1" t="s">
        <v>4243</v>
      </c>
      <c r="K1170" s="1">
        <v>6</v>
      </c>
      <c r="L1170" s="1" t="s">
        <v>4277</v>
      </c>
      <c r="M1170" s="1" t="s">
        <v>4282</v>
      </c>
      <c r="N1170" s="1">
        <v>662.84</v>
      </c>
      <c r="O1170" s="1">
        <f>(ordersTable[[#This Row],[Quantity]]*ordersTable[[#This Row],[UnitPrice]])-ordersTable[[#This Row],[TotalPrice]]</f>
        <v>0</v>
      </c>
    </row>
    <row r="1171" spans="1:15" x14ac:dyDescent="0.3">
      <c r="A1171" s="1" t="s">
        <v>1183</v>
      </c>
      <c r="B1171" s="2">
        <v>45649</v>
      </c>
      <c r="C1171" s="3" t="s">
        <v>2372</v>
      </c>
      <c r="D1171" s="1" t="s">
        <v>2406</v>
      </c>
      <c r="E1171" s="5">
        <v>1</v>
      </c>
      <c r="F1171" s="4">
        <v>525.42999999999995</v>
      </c>
      <c r="G1171" s="1" t="s">
        <v>3053</v>
      </c>
      <c r="H1171" s="1" t="s">
        <v>3069</v>
      </c>
      <c r="I1171" s="1" t="s">
        <v>3071</v>
      </c>
      <c r="J1171" s="1" t="s">
        <v>4244</v>
      </c>
      <c r="K1171" s="1">
        <v>2</v>
      </c>
      <c r="L1171" s="1" t="s">
        <v>4275</v>
      </c>
      <c r="M1171" s="1" t="s">
        <v>4278</v>
      </c>
      <c r="N1171" s="1">
        <v>525.42999999999995</v>
      </c>
      <c r="O1171" s="1">
        <f>(ordersTable[[#This Row],[Quantity]]*ordersTable[[#This Row],[UnitPrice]])-ordersTable[[#This Row],[TotalPrice]]</f>
        <v>0</v>
      </c>
    </row>
    <row r="1172" spans="1:15" x14ac:dyDescent="0.3">
      <c r="A1172" s="1" t="s">
        <v>1184</v>
      </c>
      <c r="B1172" s="2">
        <v>45141</v>
      </c>
      <c r="C1172" s="3" t="s">
        <v>2373</v>
      </c>
      <c r="D1172" s="1" t="s">
        <v>2407</v>
      </c>
      <c r="E1172" s="5">
        <v>2</v>
      </c>
      <c r="F1172" s="4">
        <v>697.19</v>
      </c>
      <c r="G1172" s="1" t="s">
        <v>2607</v>
      </c>
      <c r="H1172" s="1" t="s">
        <v>3069</v>
      </c>
      <c r="I1172" s="1" t="s">
        <v>3072</v>
      </c>
      <c r="J1172" s="1" t="s">
        <v>4245</v>
      </c>
      <c r="K1172" s="1">
        <v>7</v>
      </c>
      <c r="L1172" s="1" t="s">
        <v>4276</v>
      </c>
      <c r="M1172" s="1" t="s">
        <v>4280</v>
      </c>
      <c r="N1172" s="1">
        <v>1394.38</v>
      </c>
      <c r="O1172" s="1">
        <f>(ordersTable[[#This Row],[Quantity]]*ordersTable[[#This Row],[UnitPrice]])-ordersTable[[#This Row],[TotalPrice]]</f>
        <v>0</v>
      </c>
    </row>
    <row r="1173" spans="1:15" x14ac:dyDescent="0.3">
      <c r="A1173" s="1" t="s">
        <v>1185</v>
      </c>
      <c r="B1173" s="2">
        <v>45166</v>
      </c>
      <c r="C1173" s="3" t="s">
        <v>2374</v>
      </c>
      <c r="D1173" s="1" t="s">
        <v>2404</v>
      </c>
      <c r="E1173" s="5">
        <v>4</v>
      </c>
      <c r="F1173" s="4">
        <v>518.4</v>
      </c>
      <c r="G1173" s="1" t="s">
        <v>3054</v>
      </c>
      <c r="H1173" s="1" t="s">
        <v>3067</v>
      </c>
      <c r="I1173" s="1" t="s">
        <v>3073</v>
      </c>
      <c r="J1173" s="1" t="s">
        <v>4246</v>
      </c>
      <c r="K1173" s="1">
        <v>7</v>
      </c>
      <c r="L1173" s="1" t="s">
        <v>4275</v>
      </c>
      <c r="M1173" s="1" t="s">
        <v>4281</v>
      </c>
      <c r="N1173" s="1">
        <v>2073.6</v>
      </c>
      <c r="O1173" s="1">
        <f>(ordersTable[[#This Row],[Quantity]]*ordersTable[[#This Row],[UnitPrice]])-ordersTable[[#This Row],[TotalPrice]]</f>
        <v>0</v>
      </c>
    </row>
    <row r="1174" spans="1:15" x14ac:dyDescent="0.3">
      <c r="A1174" s="1" t="s">
        <v>1186</v>
      </c>
      <c r="B1174" s="2">
        <v>45692</v>
      </c>
      <c r="C1174" s="3" t="s">
        <v>2375</v>
      </c>
      <c r="D1174" s="1" t="s">
        <v>2409</v>
      </c>
      <c r="E1174" s="5">
        <v>3</v>
      </c>
      <c r="F1174" s="4">
        <v>131.96</v>
      </c>
      <c r="G1174" s="1" t="s">
        <v>2793</v>
      </c>
      <c r="H1174" s="1" t="s">
        <v>3067</v>
      </c>
      <c r="I1174" s="1" t="s">
        <v>3074</v>
      </c>
      <c r="J1174" s="1" t="s">
        <v>4247</v>
      </c>
      <c r="K1174" s="1">
        <v>8</v>
      </c>
      <c r="M1174" s="1" t="s">
        <v>4278</v>
      </c>
      <c r="N1174" s="1">
        <v>395.88</v>
      </c>
      <c r="O1174" s="1">
        <f>(ordersTable[[#This Row],[Quantity]]*ordersTable[[#This Row],[UnitPrice]])-ordersTable[[#This Row],[TotalPrice]]</f>
        <v>0</v>
      </c>
    </row>
    <row r="1175" spans="1:15" x14ac:dyDescent="0.3">
      <c r="A1175" s="1" t="s">
        <v>1187</v>
      </c>
      <c r="B1175" s="2">
        <v>45569</v>
      </c>
      <c r="C1175" s="3" t="s">
        <v>2376</v>
      </c>
      <c r="D1175" s="1" t="s">
        <v>2403</v>
      </c>
      <c r="E1175" s="5">
        <v>1</v>
      </c>
      <c r="F1175" s="4">
        <v>208.36</v>
      </c>
      <c r="G1175" s="1" t="s">
        <v>2891</v>
      </c>
      <c r="H1175" s="1" t="s">
        <v>3066</v>
      </c>
      <c r="I1175" s="1" t="s">
        <v>3070</v>
      </c>
      <c r="J1175" s="1" t="s">
        <v>4248</v>
      </c>
      <c r="K1175" s="1">
        <v>4</v>
      </c>
      <c r="L1175" s="1" t="s">
        <v>4276</v>
      </c>
      <c r="M1175" s="1" t="s">
        <v>4280</v>
      </c>
      <c r="N1175" s="1">
        <v>208.36</v>
      </c>
      <c r="O1175" s="1">
        <f>(ordersTable[[#This Row],[Quantity]]*ordersTable[[#This Row],[UnitPrice]])-ordersTable[[#This Row],[TotalPrice]]</f>
        <v>0</v>
      </c>
    </row>
    <row r="1176" spans="1:15" x14ac:dyDescent="0.3">
      <c r="A1176" s="1" t="s">
        <v>1188</v>
      </c>
      <c r="B1176" s="2">
        <v>45257</v>
      </c>
      <c r="C1176" s="3" t="s">
        <v>2377</v>
      </c>
      <c r="D1176" s="1" t="s">
        <v>2407</v>
      </c>
      <c r="E1176" s="5">
        <v>3</v>
      </c>
      <c r="F1176" s="4">
        <v>222.34</v>
      </c>
      <c r="G1176" s="1" t="s">
        <v>3055</v>
      </c>
      <c r="H1176" s="1" t="s">
        <v>3067</v>
      </c>
      <c r="I1176" s="1" t="s">
        <v>3072</v>
      </c>
      <c r="J1176" s="1" t="s">
        <v>4249</v>
      </c>
      <c r="K1176" s="1">
        <v>5</v>
      </c>
      <c r="L1176" s="1" t="s">
        <v>4277</v>
      </c>
      <c r="M1176" s="1" t="s">
        <v>4280</v>
      </c>
      <c r="N1176" s="1">
        <v>667.02</v>
      </c>
      <c r="O1176" s="1">
        <f>(ordersTable[[#This Row],[Quantity]]*ordersTable[[#This Row],[UnitPrice]])-ordersTable[[#This Row],[TotalPrice]]</f>
        <v>0</v>
      </c>
    </row>
    <row r="1177" spans="1:15" x14ac:dyDescent="0.3">
      <c r="A1177" s="1" t="s">
        <v>1189</v>
      </c>
      <c r="B1177" s="2">
        <v>45545</v>
      </c>
      <c r="C1177" s="3" t="s">
        <v>2378</v>
      </c>
      <c r="D1177" s="1" t="s">
        <v>2407</v>
      </c>
      <c r="E1177" s="5">
        <v>3</v>
      </c>
      <c r="F1177" s="4">
        <v>91.74</v>
      </c>
      <c r="G1177" s="1" t="s">
        <v>2666</v>
      </c>
      <c r="H1177" s="1" t="s">
        <v>3065</v>
      </c>
      <c r="I1177" s="1" t="s">
        <v>3072</v>
      </c>
      <c r="J1177" s="1" t="s">
        <v>4250</v>
      </c>
      <c r="K1177" s="1">
        <v>8</v>
      </c>
      <c r="L1177" s="1" t="s">
        <v>4276</v>
      </c>
      <c r="M1177" s="1" t="s">
        <v>4279</v>
      </c>
      <c r="N1177" s="1">
        <v>275.22000000000003</v>
      </c>
      <c r="O1177" s="1">
        <f>(ordersTable[[#This Row],[Quantity]]*ordersTable[[#This Row],[UnitPrice]])-ordersTable[[#This Row],[TotalPrice]]</f>
        <v>0</v>
      </c>
    </row>
    <row r="1178" spans="1:15" x14ac:dyDescent="0.3">
      <c r="A1178" s="1" t="s">
        <v>1190</v>
      </c>
      <c r="B1178" s="2">
        <v>45151</v>
      </c>
      <c r="C1178" s="3" t="s">
        <v>2379</v>
      </c>
      <c r="D1178" s="1" t="s">
        <v>2405</v>
      </c>
      <c r="E1178" s="5">
        <v>2</v>
      </c>
      <c r="F1178" s="4">
        <v>213.83</v>
      </c>
      <c r="G1178" s="1" t="s">
        <v>3056</v>
      </c>
      <c r="H1178" s="1" t="s">
        <v>3065</v>
      </c>
      <c r="I1178" s="1" t="s">
        <v>3071</v>
      </c>
      <c r="J1178" s="1" t="s">
        <v>4251</v>
      </c>
      <c r="K1178" s="1">
        <v>2</v>
      </c>
      <c r="L1178" s="1" t="s">
        <v>4277</v>
      </c>
      <c r="M1178" s="1" t="s">
        <v>4280</v>
      </c>
      <c r="N1178" s="1">
        <v>427.66</v>
      </c>
      <c r="O1178" s="1">
        <f>(ordersTable[[#This Row],[Quantity]]*ordersTable[[#This Row],[UnitPrice]])-ordersTable[[#This Row],[TotalPrice]]</f>
        <v>0</v>
      </c>
    </row>
    <row r="1179" spans="1:15" x14ac:dyDescent="0.3">
      <c r="A1179" s="1" t="s">
        <v>1191</v>
      </c>
      <c r="B1179" s="2">
        <v>45043</v>
      </c>
      <c r="C1179" s="3" t="s">
        <v>2380</v>
      </c>
      <c r="D1179" s="1" t="s">
        <v>2407</v>
      </c>
      <c r="E1179" s="5">
        <v>1</v>
      </c>
      <c r="F1179" s="4">
        <v>127.55</v>
      </c>
      <c r="G1179" s="1" t="s">
        <v>2749</v>
      </c>
      <c r="H1179" s="1" t="s">
        <v>3069</v>
      </c>
      <c r="I1179" s="1" t="s">
        <v>3070</v>
      </c>
      <c r="J1179" s="1" t="s">
        <v>4252</v>
      </c>
      <c r="K1179" s="1">
        <v>3</v>
      </c>
      <c r="L1179" s="1" t="s">
        <v>4275</v>
      </c>
      <c r="M1179" s="1" t="s">
        <v>4279</v>
      </c>
      <c r="N1179" s="1">
        <v>127.55</v>
      </c>
      <c r="O1179" s="1">
        <f>(ordersTable[[#This Row],[Quantity]]*ordersTable[[#This Row],[UnitPrice]])-ordersTable[[#This Row],[TotalPrice]]</f>
        <v>0</v>
      </c>
    </row>
    <row r="1180" spans="1:15" x14ac:dyDescent="0.3">
      <c r="A1180" s="1" t="s">
        <v>1192</v>
      </c>
      <c r="B1180" s="2">
        <v>45543</v>
      </c>
      <c r="C1180" s="3" t="s">
        <v>2381</v>
      </c>
      <c r="D1180" s="1" t="s">
        <v>2403</v>
      </c>
      <c r="E1180" s="5">
        <v>1</v>
      </c>
      <c r="F1180" s="4">
        <v>70.239999999999995</v>
      </c>
      <c r="G1180" s="1" t="s">
        <v>2616</v>
      </c>
      <c r="H1180" s="1" t="s">
        <v>3067</v>
      </c>
      <c r="I1180" s="1" t="s">
        <v>3071</v>
      </c>
      <c r="J1180" s="1" t="s">
        <v>4253</v>
      </c>
      <c r="K1180" s="1">
        <v>4</v>
      </c>
      <c r="L1180" s="1" t="s">
        <v>4276</v>
      </c>
      <c r="M1180" s="1" t="s">
        <v>4282</v>
      </c>
      <c r="N1180" s="1">
        <v>70.239999999999995</v>
      </c>
      <c r="O1180" s="1">
        <f>(ordersTable[[#This Row],[Quantity]]*ordersTable[[#This Row],[UnitPrice]])-ordersTable[[#This Row],[TotalPrice]]</f>
        <v>0</v>
      </c>
    </row>
    <row r="1181" spans="1:15" x14ac:dyDescent="0.3">
      <c r="A1181" s="1" t="s">
        <v>1193</v>
      </c>
      <c r="B1181" s="2">
        <v>44934</v>
      </c>
      <c r="C1181" s="3" t="s">
        <v>2382</v>
      </c>
      <c r="D1181" s="1" t="s">
        <v>2408</v>
      </c>
      <c r="E1181" s="5">
        <v>5</v>
      </c>
      <c r="F1181" s="4">
        <v>518.54999999999995</v>
      </c>
      <c r="G1181" s="1" t="s">
        <v>2709</v>
      </c>
      <c r="H1181" s="1" t="s">
        <v>3067</v>
      </c>
      <c r="I1181" s="1" t="s">
        <v>3071</v>
      </c>
      <c r="J1181" s="1" t="s">
        <v>4254</v>
      </c>
      <c r="K1181" s="1">
        <v>6</v>
      </c>
      <c r="L1181" s="1" t="s">
        <v>4277</v>
      </c>
      <c r="M1181" s="1" t="s">
        <v>4278</v>
      </c>
      <c r="N1181" s="1">
        <v>2592.75</v>
      </c>
      <c r="O1181" s="1">
        <f>(ordersTable[[#This Row],[Quantity]]*ordersTable[[#This Row],[UnitPrice]])-ordersTable[[#This Row],[TotalPrice]]</f>
        <v>0</v>
      </c>
    </row>
    <row r="1182" spans="1:15" x14ac:dyDescent="0.3">
      <c r="A1182" s="1" t="s">
        <v>1194</v>
      </c>
      <c r="B1182" s="2">
        <v>45230</v>
      </c>
      <c r="C1182" s="3" t="s">
        <v>2383</v>
      </c>
      <c r="D1182" s="1" t="s">
        <v>2406</v>
      </c>
      <c r="E1182" s="5">
        <v>4</v>
      </c>
      <c r="F1182" s="4">
        <v>298.36</v>
      </c>
      <c r="G1182" s="1" t="s">
        <v>2805</v>
      </c>
      <c r="H1182" s="1" t="s">
        <v>3065</v>
      </c>
      <c r="I1182" s="1" t="s">
        <v>3074</v>
      </c>
      <c r="J1182" s="1" t="s">
        <v>4255</v>
      </c>
      <c r="K1182" s="1">
        <v>8</v>
      </c>
      <c r="L1182" s="1" t="s">
        <v>4276</v>
      </c>
      <c r="M1182" s="1" t="s">
        <v>4282</v>
      </c>
      <c r="N1182" s="1">
        <v>1193.44</v>
      </c>
      <c r="O1182" s="1">
        <f>(ordersTable[[#This Row],[Quantity]]*ordersTable[[#This Row],[UnitPrice]])-ordersTable[[#This Row],[TotalPrice]]</f>
        <v>0</v>
      </c>
    </row>
    <row r="1183" spans="1:15" x14ac:dyDescent="0.3">
      <c r="A1183" s="1" t="s">
        <v>1195</v>
      </c>
      <c r="B1183" s="2">
        <v>45134</v>
      </c>
      <c r="C1183" s="3" t="s">
        <v>2384</v>
      </c>
      <c r="D1183" s="1" t="s">
        <v>2409</v>
      </c>
      <c r="E1183" s="5">
        <v>3</v>
      </c>
      <c r="F1183" s="4">
        <v>158.74</v>
      </c>
      <c r="G1183" s="1" t="s">
        <v>2694</v>
      </c>
      <c r="H1183" s="1" t="s">
        <v>3066</v>
      </c>
      <c r="I1183" s="1" t="s">
        <v>3074</v>
      </c>
      <c r="J1183" s="1" t="s">
        <v>4256</v>
      </c>
      <c r="K1183" s="1">
        <v>7</v>
      </c>
      <c r="L1183" s="1" t="s">
        <v>4276</v>
      </c>
      <c r="M1183" s="1" t="s">
        <v>4278</v>
      </c>
      <c r="N1183" s="1">
        <v>476.22</v>
      </c>
      <c r="O1183" s="1">
        <f>(ordersTable[[#This Row],[Quantity]]*ordersTable[[#This Row],[UnitPrice]])-ordersTable[[#This Row],[TotalPrice]]</f>
        <v>0</v>
      </c>
    </row>
    <row r="1184" spans="1:15" x14ac:dyDescent="0.3">
      <c r="A1184" s="1" t="s">
        <v>1196</v>
      </c>
      <c r="B1184" s="2">
        <v>45822</v>
      </c>
      <c r="C1184" s="3" t="s">
        <v>2385</v>
      </c>
      <c r="D1184" s="1" t="s">
        <v>2406</v>
      </c>
      <c r="E1184" s="5">
        <v>2</v>
      </c>
      <c r="F1184" s="4">
        <v>420.29</v>
      </c>
      <c r="G1184" s="1" t="s">
        <v>2835</v>
      </c>
      <c r="H1184" s="1" t="s">
        <v>3068</v>
      </c>
      <c r="I1184" s="1" t="s">
        <v>3072</v>
      </c>
      <c r="J1184" s="1" t="s">
        <v>4257</v>
      </c>
      <c r="K1184" s="1">
        <v>3</v>
      </c>
      <c r="L1184" s="1" t="s">
        <v>4275</v>
      </c>
      <c r="M1184" s="1" t="s">
        <v>4282</v>
      </c>
      <c r="N1184" s="1">
        <v>840.58</v>
      </c>
      <c r="O1184" s="1">
        <f>(ordersTable[[#This Row],[Quantity]]*ordersTable[[#This Row],[UnitPrice]])-ordersTable[[#This Row],[TotalPrice]]</f>
        <v>0</v>
      </c>
    </row>
    <row r="1185" spans="1:15" x14ac:dyDescent="0.3">
      <c r="A1185" s="1" t="s">
        <v>1197</v>
      </c>
      <c r="B1185" s="2">
        <v>45021</v>
      </c>
      <c r="C1185" s="3" t="s">
        <v>2386</v>
      </c>
      <c r="D1185" s="1" t="s">
        <v>2409</v>
      </c>
      <c r="E1185" s="5">
        <v>1</v>
      </c>
      <c r="F1185" s="4">
        <v>281.52</v>
      </c>
      <c r="G1185" s="1" t="s">
        <v>2633</v>
      </c>
      <c r="H1185" s="1" t="s">
        <v>3068</v>
      </c>
      <c r="I1185" s="1" t="s">
        <v>3070</v>
      </c>
      <c r="J1185" s="1" t="s">
        <v>4258</v>
      </c>
      <c r="K1185" s="1">
        <v>6</v>
      </c>
      <c r="L1185" s="1" t="s">
        <v>4277</v>
      </c>
      <c r="M1185" s="1" t="s">
        <v>4279</v>
      </c>
      <c r="N1185" s="1">
        <v>281.52</v>
      </c>
      <c r="O1185" s="1">
        <f>(ordersTable[[#This Row],[Quantity]]*ordersTable[[#This Row],[UnitPrice]])-ordersTable[[#This Row],[TotalPrice]]</f>
        <v>0</v>
      </c>
    </row>
    <row r="1186" spans="1:15" x14ac:dyDescent="0.3">
      <c r="A1186" s="1" t="s">
        <v>1198</v>
      </c>
      <c r="B1186" s="2">
        <v>45196</v>
      </c>
      <c r="C1186" s="3" t="s">
        <v>2387</v>
      </c>
      <c r="D1186" s="1" t="s">
        <v>2408</v>
      </c>
      <c r="E1186" s="5">
        <v>1</v>
      </c>
      <c r="F1186" s="4">
        <v>204.08</v>
      </c>
      <c r="G1186" s="1" t="s">
        <v>2938</v>
      </c>
      <c r="H1186" s="1" t="s">
        <v>3068</v>
      </c>
      <c r="I1186" s="1" t="s">
        <v>3072</v>
      </c>
      <c r="J1186" s="1" t="s">
        <v>4259</v>
      </c>
      <c r="K1186" s="1">
        <v>4</v>
      </c>
      <c r="M1186" s="1" t="s">
        <v>4282</v>
      </c>
      <c r="N1186" s="1">
        <v>204.08</v>
      </c>
      <c r="O1186" s="1">
        <f>(ordersTable[[#This Row],[Quantity]]*ordersTable[[#This Row],[UnitPrice]])-ordersTable[[#This Row],[TotalPrice]]</f>
        <v>0</v>
      </c>
    </row>
    <row r="1187" spans="1:15" x14ac:dyDescent="0.3">
      <c r="A1187" s="1" t="s">
        <v>1199</v>
      </c>
      <c r="B1187" s="2">
        <v>45481</v>
      </c>
      <c r="C1187" s="3" t="s">
        <v>2388</v>
      </c>
      <c r="D1187" s="1" t="s">
        <v>2406</v>
      </c>
      <c r="E1187" s="5">
        <v>1</v>
      </c>
      <c r="F1187" s="4">
        <v>343.31</v>
      </c>
      <c r="G1187" s="1" t="s">
        <v>3057</v>
      </c>
      <c r="H1187" s="1" t="s">
        <v>3068</v>
      </c>
      <c r="I1187" s="1" t="s">
        <v>3072</v>
      </c>
      <c r="J1187" s="1" t="s">
        <v>4260</v>
      </c>
      <c r="K1187" s="1">
        <v>6</v>
      </c>
      <c r="L1187" s="1" t="s">
        <v>4275</v>
      </c>
      <c r="M1187" s="1" t="s">
        <v>4282</v>
      </c>
      <c r="N1187" s="1">
        <v>343.31</v>
      </c>
      <c r="O1187" s="1">
        <f>(ordersTable[[#This Row],[Quantity]]*ordersTable[[#This Row],[UnitPrice]])-ordersTable[[#This Row],[TotalPrice]]</f>
        <v>0</v>
      </c>
    </row>
    <row r="1188" spans="1:15" x14ac:dyDescent="0.3">
      <c r="A1188" s="1" t="s">
        <v>1200</v>
      </c>
      <c r="B1188" s="2">
        <v>45248</v>
      </c>
      <c r="C1188" s="3" t="s">
        <v>2389</v>
      </c>
      <c r="D1188" s="1" t="s">
        <v>2403</v>
      </c>
      <c r="E1188" s="5">
        <v>1</v>
      </c>
      <c r="F1188" s="4">
        <v>163.32</v>
      </c>
      <c r="G1188" s="1" t="s">
        <v>3058</v>
      </c>
      <c r="H1188" s="1" t="s">
        <v>3069</v>
      </c>
      <c r="I1188" s="1" t="s">
        <v>3070</v>
      </c>
      <c r="J1188" s="1" t="s">
        <v>4261</v>
      </c>
      <c r="K1188" s="1">
        <v>6</v>
      </c>
      <c r="L1188" s="1" t="s">
        <v>4277</v>
      </c>
      <c r="M1188" s="1" t="s">
        <v>4281</v>
      </c>
      <c r="N1188" s="1">
        <v>163.32</v>
      </c>
      <c r="O1188" s="1">
        <f>(ordersTable[[#This Row],[Quantity]]*ordersTable[[#This Row],[UnitPrice]])-ordersTable[[#This Row],[TotalPrice]]</f>
        <v>0</v>
      </c>
    </row>
    <row r="1189" spans="1:15" x14ac:dyDescent="0.3">
      <c r="A1189" s="1" t="s">
        <v>1201</v>
      </c>
      <c r="B1189" s="2">
        <v>45364</v>
      </c>
      <c r="C1189" s="3" t="s">
        <v>2390</v>
      </c>
      <c r="D1189" s="1" t="s">
        <v>2409</v>
      </c>
      <c r="E1189" s="5">
        <v>2</v>
      </c>
      <c r="F1189" s="4">
        <v>184.6</v>
      </c>
      <c r="G1189" s="1" t="s">
        <v>2613</v>
      </c>
      <c r="H1189" s="1" t="s">
        <v>3068</v>
      </c>
      <c r="I1189" s="1" t="s">
        <v>3073</v>
      </c>
      <c r="J1189" s="1" t="s">
        <v>4262</v>
      </c>
      <c r="K1189" s="1">
        <v>7</v>
      </c>
      <c r="L1189" s="1" t="s">
        <v>4277</v>
      </c>
      <c r="M1189" s="1" t="s">
        <v>4280</v>
      </c>
      <c r="N1189" s="1">
        <v>369.2</v>
      </c>
      <c r="O1189" s="1">
        <f>(ordersTable[[#This Row],[Quantity]]*ordersTable[[#This Row],[UnitPrice]])-ordersTable[[#This Row],[TotalPrice]]</f>
        <v>0</v>
      </c>
    </row>
    <row r="1190" spans="1:15" x14ac:dyDescent="0.3">
      <c r="A1190" s="1" t="s">
        <v>1202</v>
      </c>
      <c r="B1190" s="2">
        <v>45206</v>
      </c>
      <c r="C1190" s="3" t="s">
        <v>2391</v>
      </c>
      <c r="D1190" s="1" t="s">
        <v>2407</v>
      </c>
      <c r="E1190" s="5">
        <v>2</v>
      </c>
      <c r="F1190" s="4">
        <v>371.29</v>
      </c>
      <c r="G1190" s="1" t="s">
        <v>3059</v>
      </c>
      <c r="H1190" s="1" t="s">
        <v>3068</v>
      </c>
      <c r="I1190" s="1" t="s">
        <v>3070</v>
      </c>
      <c r="J1190" s="1" t="s">
        <v>4263</v>
      </c>
      <c r="K1190" s="1">
        <v>5</v>
      </c>
      <c r="L1190" s="1" t="s">
        <v>4277</v>
      </c>
      <c r="M1190" s="1" t="s">
        <v>4281</v>
      </c>
      <c r="N1190" s="1">
        <v>742.58</v>
      </c>
      <c r="O1190" s="1">
        <f>(ordersTable[[#This Row],[Quantity]]*ordersTable[[#This Row],[UnitPrice]])-ordersTable[[#This Row],[TotalPrice]]</f>
        <v>0</v>
      </c>
    </row>
    <row r="1191" spans="1:15" x14ac:dyDescent="0.3">
      <c r="A1191" s="1" t="s">
        <v>1203</v>
      </c>
      <c r="B1191" s="2">
        <v>45521</v>
      </c>
      <c r="C1191" s="3" t="s">
        <v>2392</v>
      </c>
      <c r="D1191" s="1" t="s">
        <v>2405</v>
      </c>
      <c r="E1191" s="5">
        <v>5</v>
      </c>
      <c r="F1191" s="4">
        <v>389.22</v>
      </c>
      <c r="G1191" s="1" t="s">
        <v>3060</v>
      </c>
      <c r="H1191" s="1" t="s">
        <v>3069</v>
      </c>
      <c r="I1191" s="1" t="s">
        <v>3071</v>
      </c>
      <c r="J1191" s="1" t="s">
        <v>4264</v>
      </c>
      <c r="K1191" s="1">
        <v>7</v>
      </c>
      <c r="M1191" s="1" t="s">
        <v>4279</v>
      </c>
      <c r="N1191" s="1">
        <v>1946.1</v>
      </c>
      <c r="O1191" s="1">
        <f>(ordersTable[[#This Row],[Quantity]]*ordersTable[[#This Row],[UnitPrice]])-ordersTable[[#This Row],[TotalPrice]]</f>
        <v>0</v>
      </c>
    </row>
    <row r="1192" spans="1:15" x14ac:dyDescent="0.3">
      <c r="A1192" s="1" t="s">
        <v>1204</v>
      </c>
      <c r="B1192" s="2">
        <v>45816</v>
      </c>
      <c r="C1192" s="3" t="s">
        <v>2393</v>
      </c>
      <c r="D1192" s="1" t="s">
        <v>2409</v>
      </c>
      <c r="E1192" s="5">
        <v>3</v>
      </c>
      <c r="F1192" s="4">
        <v>616.39</v>
      </c>
      <c r="G1192" s="1" t="s">
        <v>3061</v>
      </c>
      <c r="H1192" s="1" t="s">
        <v>3067</v>
      </c>
      <c r="I1192" s="1" t="s">
        <v>3070</v>
      </c>
      <c r="J1192" s="1" t="s">
        <v>4265</v>
      </c>
      <c r="K1192" s="1">
        <v>6</v>
      </c>
      <c r="L1192" s="1" t="s">
        <v>4276</v>
      </c>
      <c r="M1192" s="1" t="s">
        <v>4278</v>
      </c>
      <c r="N1192" s="1">
        <v>1849.17</v>
      </c>
      <c r="O1192" s="1">
        <f>(ordersTable[[#This Row],[Quantity]]*ordersTable[[#This Row],[UnitPrice]])-ordersTable[[#This Row],[TotalPrice]]</f>
        <v>0</v>
      </c>
    </row>
    <row r="1193" spans="1:15" x14ac:dyDescent="0.3">
      <c r="A1193" s="1" t="s">
        <v>1205</v>
      </c>
      <c r="B1193" s="2">
        <v>45698</v>
      </c>
      <c r="C1193" s="3" t="s">
        <v>2394</v>
      </c>
      <c r="D1193" s="1" t="s">
        <v>2409</v>
      </c>
      <c r="E1193" s="5">
        <v>4</v>
      </c>
      <c r="F1193" s="4">
        <v>376.43</v>
      </c>
      <c r="G1193" s="1" t="s">
        <v>2841</v>
      </c>
      <c r="H1193" s="1" t="s">
        <v>3068</v>
      </c>
      <c r="I1193" s="1" t="s">
        <v>3074</v>
      </c>
      <c r="J1193" s="1" t="s">
        <v>4266</v>
      </c>
      <c r="K1193" s="1">
        <v>5</v>
      </c>
      <c r="L1193" s="1" t="s">
        <v>4277</v>
      </c>
      <c r="M1193" s="1" t="s">
        <v>4278</v>
      </c>
      <c r="N1193" s="1">
        <v>1505.72</v>
      </c>
      <c r="O1193" s="1">
        <f>(ordersTable[[#This Row],[Quantity]]*ordersTable[[#This Row],[UnitPrice]])-ordersTable[[#This Row],[TotalPrice]]</f>
        <v>0</v>
      </c>
    </row>
    <row r="1194" spans="1:15" x14ac:dyDescent="0.3">
      <c r="A1194" s="1" t="s">
        <v>1206</v>
      </c>
      <c r="B1194" s="2">
        <v>45350</v>
      </c>
      <c r="C1194" s="3" t="s">
        <v>2395</v>
      </c>
      <c r="D1194" s="1" t="s">
        <v>2406</v>
      </c>
      <c r="E1194" s="5">
        <v>3</v>
      </c>
      <c r="F1194" s="4">
        <v>432.85</v>
      </c>
      <c r="G1194" s="1" t="s">
        <v>2593</v>
      </c>
      <c r="H1194" s="1" t="s">
        <v>3066</v>
      </c>
      <c r="I1194" s="1" t="s">
        <v>3074</v>
      </c>
      <c r="J1194" s="1" t="s">
        <v>4267</v>
      </c>
      <c r="K1194" s="1">
        <v>4</v>
      </c>
      <c r="M1194" s="1" t="s">
        <v>4278</v>
      </c>
      <c r="N1194" s="1">
        <v>1298.55</v>
      </c>
      <c r="O1194" s="1">
        <f>(ordersTable[[#This Row],[Quantity]]*ordersTable[[#This Row],[UnitPrice]])-ordersTable[[#This Row],[TotalPrice]]</f>
        <v>0</v>
      </c>
    </row>
    <row r="1195" spans="1:15" x14ac:dyDescent="0.3">
      <c r="A1195" s="1" t="s">
        <v>1207</v>
      </c>
      <c r="B1195" s="2">
        <v>45824</v>
      </c>
      <c r="C1195" s="3" t="s">
        <v>2396</v>
      </c>
      <c r="D1195" s="1" t="s">
        <v>2405</v>
      </c>
      <c r="E1195" s="5">
        <v>1</v>
      </c>
      <c r="F1195" s="4">
        <v>687.89</v>
      </c>
      <c r="G1195" s="1" t="s">
        <v>2481</v>
      </c>
      <c r="H1195" s="1" t="s">
        <v>3069</v>
      </c>
      <c r="I1195" s="1" t="s">
        <v>3072</v>
      </c>
      <c r="J1195" s="1" t="s">
        <v>4268</v>
      </c>
      <c r="K1195" s="1">
        <v>1</v>
      </c>
      <c r="L1195" s="1" t="s">
        <v>4276</v>
      </c>
      <c r="M1195" s="1" t="s">
        <v>4280</v>
      </c>
      <c r="N1195" s="1">
        <v>687.89</v>
      </c>
      <c r="O1195" s="1">
        <f>(ordersTable[[#This Row],[Quantity]]*ordersTable[[#This Row],[UnitPrice]])-ordersTable[[#This Row],[TotalPrice]]</f>
        <v>0</v>
      </c>
    </row>
    <row r="1196" spans="1:15" x14ac:dyDescent="0.3">
      <c r="A1196" s="1" t="s">
        <v>1208</v>
      </c>
      <c r="B1196" s="2">
        <v>45249</v>
      </c>
      <c r="C1196" s="3" t="s">
        <v>2397</v>
      </c>
      <c r="D1196" s="1" t="s">
        <v>2407</v>
      </c>
      <c r="E1196" s="5">
        <v>3</v>
      </c>
      <c r="F1196" s="4">
        <v>189.44</v>
      </c>
      <c r="G1196" s="1" t="s">
        <v>2582</v>
      </c>
      <c r="H1196" s="1" t="s">
        <v>3069</v>
      </c>
      <c r="I1196" s="1" t="s">
        <v>3074</v>
      </c>
      <c r="J1196" s="1" t="s">
        <v>4269</v>
      </c>
      <c r="K1196" s="1">
        <v>4</v>
      </c>
      <c r="L1196" s="1" t="s">
        <v>4276</v>
      </c>
      <c r="M1196" s="1" t="s">
        <v>4280</v>
      </c>
      <c r="N1196" s="1">
        <v>568.31999999999994</v>
      </c>
      <c r="O1196" s="1">
        <f>(ordersTable[[#This Row],[Quantity]]*ordersTable[[#This Row],[UnitPrice]])-ordersTable[[#This Row],[TotalPrice]]</f>
        <v>0</v>
      </c>
    </row>
    <row r="1197" spans="1:15" x14ac:dyDescent="0.3">
      <c r="A1197" s="1" t="s">
        <v>1209</v>
      </c>
      <c r="B1197" s="2">
        <v>45463</v>
      </c>
      <c r="C1197" s="3" t="s">
        <v>2398</v>
      </c>
      <c r="D1197" s="1" t="s">
        <v>2409</v>
      </c>
      <c r="E1197" s="5">
        <v>1</v>
      </c>
      <c r="F1197" s="4">
        <v>107.04</v>
      </c>
      <c r="G1197" s="1" t="s">
        <v>3062</v>
      </c>
      <c r="H1197" s="1" t="s">
        <v>3067</v>
      </c>
      <c r="I1197" s="1" t="s">
        <v>3071</v>
      </c>
      <c r="J1197" s="1" t="s">
        <v>4270</v>
      </c>
      <c r="K1197" s="1">
        <v>6</v>
      </c>
      <c r="L1197" s="1" t="s">
        <v>4276</v>
      </c>
      <c r="M1197" s="1" t="s">
        <v>4282</v>
      </c>
      <c r="N1197" s="1">
        <v>107.04</v>
      </c>
      <c r="O1197" s="1">
        <f>(ordersTable[[#This Row],[Quantity]]*ordersTable[[#This Row],[UnitPrice]])-ordersTable[[#This Row],[TotalPrice]]</f>
        <v>0</v>
      </c>
    </row>
    <row r="1198" spans="1:15" x14ac:dyDescent="0.3">
      <c r="A1198" s="1" t="s">
        <v>1210</v>
      </c>
      <c r="B1198" s="2">
        <v>45355</v>
      </c>
      <c r="C1198" s="3" t="s">
        <v>2399</v>
      </c>
      <c r="D1198" s="1" t="s">
        <v>2403</v>
      </c>
      <c r="E1198" s="5">
        <v>2</v>
      </c>
      <c r="F1198" s="4">
        <v>662.53</v>
      </c>
      <c r="G1198" s="1" t="s">
        <v>2730</v>
      </c>
      <c r="H1198" s="1" t="s">
        <v>3066</v>
      </c>
      <c r="I1198" s="1" t="s">
        <v>3071</v>
      </c>
      <c r="J1198" s="1" t="s">
        <v>4271</v>
      </c>
      <c r="K1198" s="1">
        <v>5</v>
      </c>
      <c r="M1198" s="1" t="s">
        <v>4281</v>
      </c>
      <c r="N1198" s="1">
        <v>1325.06</v>
      </c>
      <c r="O1198" s="1">
        <f>(ordersTable[[#This Row],[Quantity]]*ordersTable[[#This Row],[UnitPrice]])-ordersTable[[#This Row],[TotalPrice]]</f>
        <v>0</v>
      </c>
    </row>
    <row r="1199" spans="1:15" x14ac:dyDescent="0.3">
      <c r="A1199" s="1" t="s">
        <v>1211</v>
      </c>
      <c r="B1199" s="2">
        <v>45120</v>
      </c>
      <c r="C1199" s="3" t="s">
        <v>2400</v>
      </c>
      <c r="D1199" s="1" t="s">
        <v>2405</v>
      </c>
      <c r="E1199" s="5">
        <v>2</v>
      </c>
      <c r="F1199" s="4">
        <v>436.84</v>
      </c>
      <c r="G1199" s="1" t="s">
        <v>2413</v>
      </c>
      <c r="H1199" s="1" t="s">
        <v>3066</v>
      </c>
      <c r="I1199" s="1" t="s">
        <v>3073</v>
      </c>
      <c r="J1199" s="1" t="s">
        <v>4272</v>
      </c>
      <c r="K1199" s="1">
        <v>2</v>
      </c>
      <c r="L1199" s="1" t="s">
        <v>4276</v>
      </c>
      <c r="M1199" s="1" t="s">
        <v>4278</v>
      </c>
      <c r="N1199" s="1">
        <v>873.68</v>
      </c>
      <c r="O1199" s="1">
        <f>(ordersTable[[#This Row],[Quantity]]*ordersTable[[#This Row],[UnitPrice]])-ordersTable[[#This Row],[TotalPrice]]</f>
        <v>0</v>
      </c>
    </row>
    <row r="1200" spans="1:15" x14ac:dyDescent="0.3">
      <c r="A1200" s="1" t="s">
        <v>1212</v>
      </c>
      <c r="B1200" s="2">
        <v>45526</v>
      </c>
      <c r="C1200" s="3" t="s">
        <v>2401</v>
      </c>
      <c r="D1200" s="1" t="s">
        <v>2406</v>
      </c>
      <c r="E1200" s="5">
        <v>4</v>
      </c>
      <c r="F1200" s="4">
        <v>262.52</v>
      </c>
      <c r="G1200" s="1" t="s">
        <v>3063</v>
      </c>
      <c r="H1200" s="1" t="s">
        <v>3065</v>
      </c>
      <c r="I1200" s="1" t="s">
        <v>3071</v>
      </c>
      <c r="J1200" s="1" t="s">
        <v>4273</v>
      </c>
      <c r="K1200" s="1">
        <v>4</v>
      </c>
      <c r="L1200" s="1" t="s">
        <v>4277</v>
      </c>
      <c r="M1200" s="1" t="s">
        <v>4278</v>
      </c>
      <c r="N1200" s="1">
        <v>1050.08</v>
      </c>
      <c r="O1200" s="1">
        <f>(ordersTable[[#This Row],[Quantity]]*ordersTable[[#This Row],[UnitPrice]])-ordersTable[[#This Row],[TotalPrice]]</f>
        <v>0</v>
      </c>
    </row>
    <row r="1201" spans="1:15" x14ac:dyDescent="0.3">
      <c r="A1201" s="1" t="s">
        <v>1213</v>
      </c>
      <c r="B1201" s="2">
        <v>45088</v>
      </c>
      <c r="C1201" s="3" t="s">
        <v>2402</v>
      </c>
      <c r="D1201" s="1" t="s">
        <v>2405</v>
      </c>
      <c r="E1201" s="5">
        <v>4</v>
      </c>
      <c r="F1201" s="4">
        <v>560.58000000000004</v>
      </c>
      <c r="G1201" s="1" t="s">
        <v>3064</v>
      </c>
      <c r="H1201" s="1" t="s">
        <v>3068</v>
      </c>
      <c r="I1201" s="1" t="s">
        <v>3072</v>
      </c>
      <c r="J1201" s="1" t="s">
        <v>4274</v>
      </c>
      <c r="K1201" s="1">
        <v>6</v>
      </c>
      <c r="L1201" s="1" t="s">
        <v>4275</v>
      </c>
      <c r="M1201" s="1" t="s">
        <v>4279</v>
      </c>
      <c r="N1201" s="1">
        <v>2242.3200000000002</v>
      </c>
      <c r="O1201" s="1">
        <f>(ordersTable[[#This Row],[Quantity]]*ordersTable[[#This Row],[UnitPrice]])-ordersTable[[#This Row],[TotalPrice]]</f>
        <v>0</v>
      </c>
    </row>
  </sheetData>
  <conditionalFormatting sqref="A2:A1201">
    <cfRule type="duplicateValues" dxfId="3" priority="4"/>
  </conditionalFormatting>
  <conditionalFormatting sqref="G1:G1048576">
    <cfRule type="duplicateValues" dxfId="2" priority="3"/>
  </conditionalFormatting>
  <conditionalFormatting sqref="J1:J1048576">
    <cfRule type="duplicateValues" dxfId="1" priority="2"/>
  </conditionalFormatting>
  <conditionalFormatting sqref="L1:L1048576">
    <cfRule type="duplicateValues" dxfId="0"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A2C4C-4E6F-43F8-8504-F0505D6D15BF}">
  <dimension ref="C4:U29"/>
  <sheetViews>
    <sheetView topLeftCell="A18" zoomScale="98" workbookViewId="0">
      <selection activeCell="Y22" sqref="Y22"/>
    </sheetView>
  </sheetViews>
  <sheetFormatPr defaultRowHeight="14.4" x14ac:dyDescent="0.3"/>
  <cols>
    <col min="3" max="3" width="13.44140625" customWidth="1"/>
    <col min="4" max="4" width="15.33203125" customWidth="1"/>
    <col min="5" max="5" width="14.44140625" customWidth="1"/>
    <col min="7" max="7" width="15.77734375" bestFit="1" customWidth="1"/>
    <col min="8" max="8" width="15.88671875" bestFit="1" customWidth="1"/>
    <col min="9" max="9" width="5.109375" bestFit="1" customWidth="1"/>
    <col min="10" max="10" width="7" bestFit="1" customWidth="1"/>
    <col min="11" max="11" width="8" bestFit="1" customWidth="1"/>
    <col min="12" max="12" width="6.5546875" bestFit="1" customWidth="1"/>
    <col min="13" max="13" width="6.77734375" bestFit="1" customWidth="1"/>
    <col min="14" max="14" width="6.33203125" bestFit="1" customWidth="1"/>
    <col min="15" max="15" width="11" bestFit="1" customWidth="1"/>
    <col min="16" max="18" width="4.5546875" bestFit="1" customWidth="1"/>
    <col min="19" max="19" width="9.6640625" bestFit="1" customWidth="1"/>
    <col min="21" max="24" width="4.5546875" bestFit="1" customWidth="1"/>
    <col min="25" max="25" width="11.5546875" bestFit="1" customWidth="1"/>
    <col min="26" max="26" width="9.88671875" bestFit="1" customWidth="1"/>
    <col min="27" max="30" width="4.5546875" bestFit="1" customWidth="1"/>
    <col min="31" max="31" width="12.5546875" bestFit="1" customWidth="1"/>
    <col min="32" max="32" width="8.44140625" bestFit="1" customWidth="1"/>
    <col min="33" max="36" width="4.5546875" bestFit="1" customWidth="1"/>
    <col min="37" max="37" width="11.109375" bestFit="1" customWidth="1"/>
    <col min="38" max="38" width="8.6640625" bestFit="1" customWidth="1"/>
    <col min="39" max="42" width="4.5546875" bestFit="1" customWidth="1"/>
    <col min="43" max="43" width="11.33203125" bestFit="1" customWidth="1"/>
    <col min="44" max="44" width="8.21875" bestFit="1" customWidth="1"/>
    <col min="45" max="48" width="4.5546875" bestFit="1" customWidth="1"/>
    <col min="49" max="49" width="10.88671875" bestFit="1" customWidth="1"/>
    <col min="50" max="50" width="10.77734375" bestFit="1" customWidth="1"/>
  </cols>
  <sheetData>
    <row r="4" spans="3:15" x14ac:dyDescent="0.3">
      <c r="G4" s="10" t="s">
        <v>4288</v>
      </c>
      <c r="H4" s="10" t="s">
        <v>4286</v>
      </c>
    </row>
    <row r="5" spans="3:15" x14ac:dyDescent="0.3">
      <c r="G5" s="10" t="s">
        <v>4284</v>
      </c>
      <c r="H5" t="s">
        <v>2406</v>
      </c>
      <c r="I5" t="s">
        <v>2409</v>
      </c>
      <c r="J5" t="s">
        <v>2408</v>
      </c>
      <c r="K5" t="s">
        <v>2403</v>
      </c>
      <c r="L5" t="s">
        <v>2404</v>
      </c>
      <c r="M5" t="s">
        <v>2407</v>
      </c>
      <c r="N5" t="s">
        <v>2405</v>
      </c>
      <c r="O5" t="s">
        <v>4285</v>
      </c>
    </row>
    <row r="6" spans="3:15" x14ac:dyDescent="0.3">
      <c r="G6" s="11" t="s">
        <v>3071</v>
      </c>
      <c r="H6" s="5">
        <v>45</v>
      </c>
      <c r="I6" s="5">
        <v>35</v>
      </c>
      <c r="J6" s="5">
        <v>35</v>
      </c>
      <c r="K6" s="5">
        <v>35</v>
      </c>
      <c r="L6" s="5">
        <v>31</v>
      </c>
      <c r="M6" s="5">
        <v>35</v>
      </c>
      <c r="N6" s="5">
        <v>34</v>
      </c>
      <c r="O6" s="5">
        <v>250</v>
      </c>
    </row>
    <row r="7" spans="3:15" x14ac:dyDescent="0.3">
      <c r="G7" s="11" t="s">
        <v>3073</v>
      </c>
      <c r="H7" s="5">
        <v>33</v>
      </c>
      <c r="I7" s="5">
        <v>32</v>
      </c>
      <c r="J7" s="5">
        <v>40</v>
      </c>
      <c r="K7" s="5">
        <v>31</v>
      </c>
      <c r="L7" s="5">
        <v>38</v>
      </c>
      <c r="M7" s="5">
        <v>29</v>
      </c>
      <c r="N7" s="5">
        <v>28</v>
      </c>
      <c r="O7" s="5">
        <v>231</v>
      </c>
    </row>
    <row r="8" spans="3:15" x14ac:dyDescent="0.3">
      <c r="G8" s="11" t="s">
        <v>3074</v>
      </c>
      <c r="H8" s="5">
        <v>41</v>
      </c>
      <c r="I8" s="5">
        <v>38</v>
      </c>
      <c r="J8" s="5">
        <v>30</v>
      </c>
      <c r="K8" s="5">
        <v>29</v>
      </c>
      <c r="L8" s="5">
        <v>28</v>
      </c>
      <c r="M8" s="5">
        <v>37</v>
      </c>
      <c r="N8" s="5">
        <v>34</v>
      </c>
      <c r="O8" s="5">
        <v>237</v>
      </c>
    </row>
    <row r="9" spans="3:15" x14ac:dyDescent="0.3">
      <c r="G9" s="11" t="s">
        <v>3072</v>
      </c>
      <c r="H9" s="5">
        <v>28</v>
      </c>
      <c r="I9" s="5">
        <v>32</v>
      </c>
      <c r="J9" s="5">
        <v>39</v>
      </c>
      <c r="K9" s="5">
        <v>36</v>
      </c>
      <c r="L9" s="5">
        <v>31</v>
      </c>
      <c r="M9" s="5">
        <v>38</v>
      </c>
      <c r="N9" s="5">
        <v>43</v>
      </c>
      <c r="O9" s="5">
        <v>247</v>
      </c>
    </row>
    <row r="10" spans="3:15" x14ac:dyDescent="0.3">
      <c r="G10" s="11" t="s">
        <v>3070</v>
      </c>
      <c r="H10" s="5">
        <v>31</v>
      </c>
      <c r="I10" s="5">
        <v>33</v>
      </c>
      <c r="J10" s="5">
        <v>29</v>
      </c>
      <c r="K10" s="5">
        <v>32</v>
      </c>
      <c r="L10" s="5">
        <v>28</v>
      </c>
      <c r="M10" s="5">
        <v>42</v>
      </c>
      <c r="N10" s="5">
        <v>40</v>
      </c>
      <c r="O10" s="5">
        <v>235</v>
      </c>
    </row>
    <row r="11" spans="3:15" x14ac:dyDescent="0.3">
      <c r="G11" s="11" t="s">
        <v>4285</v>
      </c>
      <c r="H11" s="5">
        <v>178</v>
      </c>
      <c r="I11" s="5">
        <v>170</v>
      </c>
      <c r="J11" s="5">
        <v>173</v>
      </c>
      <c r="K11" s="5">
        <v>163</v>
      </c>
      <c r="L11" s="5">
        <v>156</v>
      </c>
      <c r="M11" s="5">
        <v>181</v>
      </c>
      <c r="N11" s="5">
        <v>179</v>
      </c>
      <c r="O11" s="5">
        <v>1200</v>
      </c>
    </row>
    <row r="15" spans="3:15" x14ac:dyDescent="0.3">
      <c r="C15" t="str" cm="1">
        <f t="array" ref="C15:E22">G4:I11</f>
        <v>Count of OrderID</v>
      </c>
      <c r="D15" t="str">
        <v>Column Labels</v>
      </c>
      <c r="E15">
        <v>0</v>
      </c>
    </row>
    <row r="16" spans="3:15" x14ac:dyDescent="0.3">
      <c r="C16" t="str">
        <v>Row Labels</v>
      </c>
      <c r="D16" t="str">
        <v>Chair</v>
      </c>
      <c r="E16" t="str">
        <v>Desk</v>
      </c>
    </row>
    <row r="17" spans="3:21" x14ac:dyDescent="0.3">
      <c r="C17" t="str">
        <v>Cancelled</v>
      </c>
      <c r="D17">
        <v>45</v>
      </c>
      <c r="E17">
        <v>35</v>
      </c>
    </row>
    <row r="18" spans="3:21" x14ac:dyDescent="0.3">
      <c r="C18" t="str">
        <v>Delivered</v>
      </c>
      <c r="D18">
        <v>33</v>
      </c>
      <c r="E18">
        <v>32</v>
      </c>
    </row>
    <row r="19" spans="3:21" x14ac:dyDescent="0.3">
      <c r="C19" t="str">
        <v>Pending</v>
      </c>
      <c r="D19">
        <v>41</v>
      </c>
      <c r="E19">
        <v>38</v>
      </c>
    </row>
    <row r="20" spans="3:21" x14ac:dyDescent="0.3">
      <c r="C20" t="str">
        <v>Returned</v>
      </c>
      <c r="D20">
        <v>28</v>
      </c>
      <c r="E20">
        <v>32</v>
      </c>
    </row>
    <row r="21" spans="3:21" x14ac:dyDescent="0.3">
      <c r="C21" t="str">
        <v>Shipped</v>
      </c>
      <c r="D21">
        <v>31</v>
      </c>
      <c r="E21">
        <v>33</v>
      </c>
    </row>
    <row r="22" spans="3:21" x14ac:dyDescent="0.3">
      <c r="C22" t="str">
        <v>Grand Total</v>
      </c>
      <c r="D22">
        <v>178</v>
      </c>
      <c r="E22">
        <v>170</v>
      </c>
    </row>
    <row r="23" spans="3:21" x14ac:dyDescent="0.3">
      <c r="S23" t="str" cm="1">
        <f t="array" ref="S23:U29">C15:E21</f>
        <v>Count of OrderID</v>
      </c>
      <c r="T23" t="str">
        <v>Column Labels</v>
      </c>
      <c r="U23">
        <v>0</v>
      </c>
    </row>
    <row r="24" spans="3:21" x14ac:dyDescent="0.3">
      <c r="S24" t="str">
        <v>Row Labels</v>
      </c>
      <c r="T24" t="str">
        <v>Chair</v>
      </c>
      <c r="U24" t="str">
        <v>Desk</v>
      </c>
    </row>
    <row r="25" spans="3:21" x14ac:dyDescent="0.3">
      <c r="S25" t="str">
        <v>Cancelled</v>
      </c>
      <c r="T25">
        <v>45</v>
      </c>
      <c r="U25">
        <v>35</v>
      </c>
    </row>
    <row r="26" spans="3:21" x14ac:dyDescent="0.3">
      <c r="S26" t="str">
        <v>Delivered</v>
      </c>
      <c r="T26">
        <v>33</v>
      </c>
      <c r="U26">
        <v>32</v>
      </c>
    </row>
    <row r="27" spans="3:21" x14ac:dyDescent="0.3">
      <c r="S27" t="str">
        <v>Pending</v>
      </c>
      <c r="T27">
        <v>41</v>
      </c>
      <c r="U27">
        <v>38</v>
      </c>
    </row>
    <row r="28" spans="3:21" x14ac:dyDescent="0.3">
      <c r="S28" t="str">
        <v>Returned</v>
      </c>
      <c r="T28">
        <v>28</v>
      </c>
      <c r="U28">
        <v>32</v>
      </c>
    </row>
    <row r="29" spans="3:21" x14ac:dyDescent="0.3">
      <c r="S29" t="str">
        <v>Shipped</v>
      </c>
      <c r="T29">
        <v>31</v>
      </c>
      <c r="U29">
        <v>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vt:lpstr>
      <vt:lpstr>coupoun</vt:lpstr>
      <vt:lpstr>Sheet8</vt:lpstr>
      <vt:lpstr>Sheet6</vt:lpstr>
      <vt:lpstr>dash</vt:lpstr>
      <vt:lpstr>Sheet10</vt:lpstr>
      <vt:lpstr>raw </vt:lpstr>
      <vt:lpstr>paymnt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AADIL</dc:creator>
  <cp:lastModifiedBy>MOHAMED AADIL</cp:lastModifiedBy>
  <dcterms:created xsi:type="dcterms:W3CDTF">2025-06-21T13:19:12Z</dcterms:created>
  <dcterms:modified xsi:type="dcterms:W3CDTF">2026-07-08T16:55:40Z</dcterms:modified>
</cp:coreProperties>
</file>